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 Vohra\Downloads\"/>
    </mc:Choice>
  </mc:AlternateContent>
  <xr:revisionPtr revIDLastSave="0" documentId="13_ncr:1_{FC12CAD2-287A-425E-B49D-57CA86C6E42D}" xr6:coauthVersionLast="47" xr6:coauthVersionMax="47" xr10:uidLastSave="{00000000-0000-0000-0000-000000000000}"/>
  <bookViews>
    <workbookView xWindow="-110" yWindow="-110" windowWidth="19420" windowHeight="11500" firstSheet="7" activeTab="8" xr2:uid="{55EFE094-91F9-44EA-881C-6D8713603C51}"/>
  </bookViews>
  <sheets>
    <sheet name="Cover" sheetId="9" r:id="rId1"/>
    <sheet name="Dashboard" sheetId="8" r:id="rId2"/>
    <sheet name="Assumptions" sheetId="1" r:id="rId3"/>
    <sheet name="Volume Engine" sheetId="2" r:id="rId4"/>
    <sheet name="Revenue Engine" sheetId="3" r:id="rId5"/>
    <sheet name="Variable Cost Engine" sheetId="4" r:id="rId6"/>
    <sheet name="Fixed Cost Engine" sheetId="5" r:id="rId7"/>
    <sheet name="P&amp;L Projection (12M)" sheetId="6" r:id="rId8"/>
    <sheet name="Sensitivity Analysis" sheetId="7" r:id="rId9"/>
  </sheets>
  <definedNames>
    <definedName name="Avg_Distance_Per_Ride">'Variable Cost Engine'!$B$9</definedName>
    <definedName name="Avg_Ride_Duration">'Volume Engine'!$B$9</definedName>
    <definedName name="Cleaning_Per_Ride">'Variable Cost Engine'!$B$6</definedName>
    <definedName name="Cost_Inflation">'P&amp;L Projection (12M)'!$B$7</definedName>
    <definedName name="Days_Per_Month">'Volume Engine'!$B$8</definedName>
    <definedName name="Depreciation_Per_Vehicle">'Fixed Cost Engine'!$B$6</definedName>
    <definedName name="Discount_Rate">'Revenue Engine'!$B$7</definedName>
    <definedName name="Energy_Cost_Per_Km">'Variable Cost Engine'!$B$10</definedName>
    <definedName name="Fleet_Growth">'P&amp;L Projection (12M)'!$B$5</definedName>
    <definedName name="Fleet_Minutes">'Revenue Engine'!$B$11</definedName>
    <definedName name="Fleet_Rides">'Fixed Cost Engine'!$B$12</definedName>
    <definedName name="Fleet_Size">'Fixed Cost Engine'!$B$11</definedName>
    <definedName name="Hours_Per_Day">'Volume Engine'!$B$7</definedName>
    <definedName name="Insurance_Per_Vehicle">'Fixed Cost Engine'!$B$5</definedName>
    <definedName name="Logistics_Per_Vehicle">'Variable Cost Engine'!$B$8</definedName>
    <definedName name="Maintenance_Per_Ride">'Variable Cost Engine'!$B$5</definedName>
    <definedName name="Parking_Per_Vehicle">'Variable Cost Engine'!$B$7</definedName>
    <definedName name="Platform_Overhead">'Fixed Cost Engine'!$B$7</definedName>
    <definedName name="Price_Growth">'P&amp;L Projection (12M)'!$B$6</definedName>
    <definedName name="Price_Per_Minute">'Revenue Engine'!$B$5</definedName>
    <definedName name="Unlock_Fee_Per_Ride">'Revenue Engine'!$B$6</definedName>
    <definedName name="Utilization_Rate">'Volume Engine'!$B$6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8" l="1"/>
  <c r="E41" i="8"/>
  <c r="D41" i="8"/>
  <c r="C41" i="8"/>
  <c r="B41" i="8"/>
  <c r="A41" i="8"/>
  <c r="F40" i="8"/>
  <c r="E40" i="8"/>
  <c r="D40" i="8"/>
  <c r="C40" i="8"/>
  <c r="B40" i="8"/>
  <c r="A40" i="8"/>
  <c r="F39" i="8"/>
  <c r="E39" i="8"/>
  <c r="D39" i="8"/>
  <c r="C39" i="8"/>
  <c r="B39" i="8"/>
  <c r="A39" i="8"/>
  <c r="F38" i="8"/>
  <c r="E38" i="8"/>
  <c r="D38" i="8"/>
  <c r="C38" i="8"/>
  <c r="B38" i="8"/>
  <c r="A38" i="8"/>
  <c r="F37" i="8"/>
  <c r="E37" i="8"/>
  <c r="D37" i="8"/>
  <c r="C37" i="8"/>
  <c r="B37" i="8"/>
  <c r="A37" i="8"/>
  <c r="F36" i="8"/>
  <c r="E36" i="8"/>
  <c r="D36" i="8"/>
  <c r="C36" i="8"/>
  <c r="B36" i="8"/>
  <c r="B2" i="8"/>
  <c r="F25" i="1"/>
  <c r="B10" i="4" s="1"/>
  <c r="F24" i="1"/>
  <c r="B9" i="4" s="1"/>
  <c r="F16" i="1"/>
  <c r="B7" i="3" s="1"/>
  <c r="D22" i="3" s="1"/>
  <c r="F15" i="1"/>
  <c r="B6" i="3" s="1"/>
  <c r="F10" i="1"/>
  <c r="B8" i="2" s="1"/>
  <c r="F6" i="1"/>
  <c r="F7" i="1"/>
  <c r="F8" i="1"/>
  <c r="B7" i="2" s="1"/>
  <c r="F9" i="1"/>
  <c r="B9" i="2" s="1"/>
  <c r="F14" i="1"/>
  <c r="B5" i="3" s="1"/>
  <c r="F20" i="1"/>
  <c r="B5" i="4" s="1"/>
  <c r="F21" i="1"/>
  <c r="B6" i="4" s="1"/>
  <c r="F22" i="1"/>
  <c r="B7" i="4" s="1"/>
  <c r="F23" i="1"/>
  <c r="B8" i="4" s="1"/>
  <c r="F29" i="1"/>
  <c r="B5" i="5" s="1"/>
  <c r="F30" i="1"/>
  <c r="B6" i="5" s="1"/>
  <c r="F31" i="1"/>
  <c r="B7" i="5" s="1"/>
  <c r="D21" i="5" s="1"/>
  <c r="B18" i="6" s="1"/>
  <c r="F35" i="1"/>
  <c r="B5" i="6" s="1"/>
  <c r="F36" i="1"/>
  <c r="B6" i="6" s="1"/>
  <c r="F37" i="1"/>
  <c r="B7" i="6" s="1"/>
  <c r="B5" i="2" l="1"/>
  <c r="B11" i="6"/>
  <c r="B11" i="5"/>
  <c r="B6" i="2"/>
  <c r="D20" i="2" s="1"/>
  <c r="B14" i="8"/>
  <c r="C18" i="6"/>
  <c r="D13" i="2"/>
  <c r="C11" i="6" l="1"/>
  <c r="B22" i="8"/>
  <c r="B24" i="8"/>
  <c r="D17" i="5"/>
  <c r="D18" i="5"/>
  <c r="D26" i="4"/>
  <c r="D25" i="4"/>
  <c r="D27" i="4" s="1"/>
  <c r="B15" i="4"/>
  <c r="D15" i="2"/>
  <c r="D24" i="2" s="1"/>
  <c r="D14" i="2"/>
  <c r="D18" i="6"/>
  <c r="E18" i="6" s="1"/>
  <c r="F18" i="6" s="1"/>
  <c r="G18" i="6" s="1"/>
  <c r="H18" i="6" s="1"/>
  <c r="I18" i="6" s="1"/>
  <c r="J18" i="6" s="1"/>
  <c r="K18" i="6" s="1"/>
  <c r="L18" i="6" s="1"/>
  <c r="M18" i="6" s="1"/>
  <c r="N18" i="6"/>
  <c r="D21" i="2"/>
  <c r="D16" i="2"/>
  <c r="D11" i="6" l="1"/>
  <c r="C22" i="8"/>
  <c r="C24" i="8"/>
  <c r="D19" i="5"/>
  <c r="D17" i="2"/>
  <c r="B12" i="5" s="1"/>
  <c r="B11" i="3"/>
  <c r="D16" i="3" s="1"/>
  <c r="D18" i="3" s="1"/>
  <c r="D22" i="8" l="1"/>
  <c r="D24" i="8"/>
  <c r="E11" i="6"/>
  <c r="B17" i="6"/>
  <c r="D22" i="5"/>
  <c r="B12" i="3"/>
  <c r="D22" i="4" s="1"/>
  <c r="D23" i="2"/>
  <c r="D18" i="2"/>
  <c r="B14" i="4"/>
  <c r="E22" i="8" l="1"/>
  <c r="E24" i="8"/>
  <c r="F11" i="6"/>
  <c r="C17" i="6"/>
  <c r="B19" i="6"/>
  <c r="D25" i="5"/>
  <c r="B12" i="8" s="1"/>
  <c r="D24" i="5"/>
  <c r="D22" i="2"/>
  <c r="B13" i="8"/>
  <c r="D21" i="4"/>
  <c r="D20" i="4"/>
  <c r="D17" i="3"/>
  <c r="D19" i="3" s="1"/>
  <c r="D20" i="3" s="1"/>
  <c r="F22" i="8" l="1"/>
  <c r="F24" i="8"/>
  <c r="G11" i="6"/>
  <c r="D17" i="6"/>
  <c r="C19" i="6"/>
  <c r="D23" i="4"/>
  <c r="D21" i="3"/>
  <c r="D23" i="3"/>
  <c r="D24" i="3" s="1"/>
  <c r="B12" i="6" s="1"/>
  <c r="D28" i="4" l="1"/>
  <c r="D32" i="4"/>
  <c r="G22" i="8"/>
  <c r="G24" i="8"/>
  <c r="H11" i="6"/>
  <c r="D19" i="6"/>
  <c r="E17" i="6"/>
  <c r="C12" i="6"/>
  <c r="B20" i="8"/>
  <c r="D25" i="3"/>
  <c r="D27" i="3"/>
  <c r="D26" i="3"/>
  <c r="B13" i="6" l="1"/>
  <c r="D31" i="4"/>
  <c r="D30" i="4"/>
  <c r="B11" i="8" s="1"/>
  <c r="H22" i="8"/>
  <c r="H24" i="8"/>
  <c r="I11" i="6"/>
  <c r="F17" i="6"/>
  <c r="E19" i="6"/>
  <c r="D12" i="6"/>
  <c r="C20" i="8"/>
  <c r="B14" i="6" l="1"/>
  <c r="C13" i="6"/>
  <c r="I22" i="8"/>
  <c r="I24" i="8"/>
  <c r="J11" i="6"/>
  <c r="G17" i="6"/>
  <c r="F19" i="6"/>
  <c r="E12" i="6"/>
  <c r="D20" i="8"/>
  <c r="C14" i="6" l="1"/>
  <c r="D13" i="6"/>
  <c r="B15" i="6"/>
  <c r="B21" i="6"/>
  <c r="C21" i="6"/>
  <c r="C15" i="6"/>
  <c r="J22" i="8"/>
  <c r="J24" i="8"/>
  <c r="K11" i="6"/>
  <c r="G19" i="6"/>
  <c r="H17" i="6"/>
  <c r="F12" i="6"/>
  <c r="E20" i="8"/>
  <c r="E13" i="6" l="1"/>
  <c r="E14" i="6" s="1"/>
  <c r="D14" i="6"/>
  <c r="B21" i="8"/>
  <c r="B22" i="6"/>
  <c r="B23" i="8"/>
  <c r="C22" i="6"/>
  <c r="C23" i="8"/>
  <c r="C21" i="8"/>
  <c r="F13" i="6"/>
  <c r="K22" i="8"/>
  <c r="K24" i="8"/>
  <c r="L11" i="6"/>
  <c r="I17" i="6"/>
  <c r="H19" i="6"/>
  <c r="G12" i="6"/>
  <c r="F20" i="8"/>
  <c r="D21" i="6" l="1"/>
  <c r="D15" i="6"/>
  <c r="E15" i="6"/>
  <c r="E21" i="6"/>
  <c r="G13" i="6"/>
  <c r="H13" i="6" s="1"/>
  <c r="F14" i="6"/>
  <c r="I13" i="6"/>
  <c r="J13" i="6" s="1"/>
  <c r="K13" i="6" s="1"/>
  <c r="L13" i="6" s="1"/>
  <c r="M13" i="6" s="1"/>
  <c r="L22" i="8"/>
  <c r="L24" i="8"/>
  <c r="M11" i="6"/>
  <c r="J17" i="6"/>
  <c r="I19" i="6"/>
  <c r="E21" i="8"/>
  <c r="E23" i="8"/>
  <c r="E22" i="6"/>
  <c r="H12" i="6"/>
  <c r="G14" i="6"/>
  <c r="G20" i="8"/>
  <c r="D23" i="8" l="1"/>
  <c r="D21" i="8"/>
  <c r="D22" i="6"/>
  <c r="N13" i="6"/>
  <c r="F15" i="6"/>
  <c r="F21" i="6"/>
  <c r="N11" i="6"/>
  <c r="M22" i="8"/>
  <c r="A5" i="8"/>
  <c r="M24" i="8"/>
  <c r="K17" i="6"/>
  <c r="J19" i="6"/>
  <c r="I12" i="6"/>
  <c r="H14" i="6"/>
  <c r="H20" i="8"/>
  <c r="G21" i="6"/>
  <c r="G15" i="6"/>
  <c r="F22" i="6" l="1"/>
  <c r="F21" i="8"/>
  <c r="F23" i="8"/>
  <c r="L17" i="6"/>
  <c r="K19" i="6"/>
  <c r="J12" i="6"/>
  <c r="I14" i="6"/>
  <c r="I20" i="8"/>
  <c r="H21" i="6"/>
  <c r="H15" i="6"/>
  <c r="G21" i="8"/>
  <c r="G23" i="8"/>
  <c r="G22" i="6"/>
  <c r="L19" i="6" l="1"/>
  <c r="M17" i="6"/>
  <c r="J14" i="6"/>
  <c r="K12" i="6"/>
  <c r="J20" i="8"/>
  <c r="I21" i="6"/>
  <c r="I15" i="6"/>
  <c r="H22" i="6"/>
  <c r="H23" i="8"/>
  <c r="H21" i="8"/>
  <c r="N17" i="6" l="1"/>
  <c r="M19" i="6"/>
  <c r="J21" i="6"/>
  <c r="J15" i="6"/>
  <c r="L12" i="6"/>
  <c r="K14" i="6"/>
  <c r="K20" i="8"/>
  <c r="I22" i="6"/>
  <c r="I21" i="8"/>
  <c r="I23" i="8"/>
  <c r="N19" i="6" l="1"/>
  <c r="K5" i="8"/>
  <c r="J22" i="6"/>
  <c r="J21" i="8"/>
  <c r="J23" i="8"/>
  <c r="L14" i="6"/>
  <c r="M12" i="6"/>
  <c r="N12" i="6" s="1"/>
  <c r="L20" i="8"/>
  <c r="K15" i="6"/>
  <c r="K21" i="6"/>
  <c r="L15" i="6" l="1"/>
  <c r="L21" i="6"/>
  <c r="M20" i="8"/>
  <c r="C5" i="8"/>
  <c r="I5" i="8"/>
  <c r="M14" i="6"/>
  <c r="N14" i="6" s="1"/>
  <c r="N15" i="6" s="1"/>
  <c r="K22" i="6"/>
  <c r="K21" i="8"/>
  <c r="K23" i="8"/>
  <c r="L22" i="6" l="1"/>
  <c r="L21" i="8"/>
  <c r="L23" i="8"/>
  <c r="M21" i="6"/>
  <c r="N21" i="6" s="1"/>
  <c r="N22" i="6" s="1"/>
  <c r="M15" i="6"/>
  <c r="B10" i="8" s="1"/>
  <c r="M22" i="6" l="1"/>
  <c r="G5" i="8" s="1"/>
  <c r="M23" i="8"/>
  <c r="E5" i="8"/>
  <c r="M21" i="8"/>
</calcChain>
</file>

<file path=xl/sharedStrings.xml><?xml version="1.0" encoding="utf-8"?>
<sst xmlns="http://schemas.openxmlformats.org/spreadsheetml/2006/main" count="409" uniqueCount="234">
  <si>
    <t>BOLT DRIVE — FP&amp;A MODEL ASSUMPTIONS</t>
  </si>
  <si>
    <t>Scenario Selector</t>
  </si>
  <si>
    <t>SECTION 1: Fleet &amp; Utilization Drivers</t>
  </si>
  <si>
    <t>Driver Name</t>
  </si>
  <si>
    <t>Unit</t>
  </si>
  <si>
    <t>Base Case</t>
  </si>
  <si>
    <t>Low Case</t>
  </si>
  <si>
    <t>High Case</t>
  </si>
  <si>
    <t>Active Scenario Value</t>
  </si>
  <si>
    <t>Total Fleet Size</t>
  </si>
  <si>
    <t>vehicles</t>
  </si>
  <si>
    <t>Utilization Rate</t>
  </si>
  <si>
    <t>%</t>
  </si>
  <si>
    <t>Operating Hours per Day</t>
  </si>
  <si>
    <t>hours/day</t>
  </si>
  <si>
    <t>Average Ride Duration</t>
  </si>
  <si>
    <t>minutes</t>
  </si>
  <si>
    <t>SECTION 2: Pricing Drivers</t>
  </si>
  <si>
    <t>Price per Minute</t>
  </si>
  <si>
    <t>€ per minute</t>
  </si>
  <si>
    <t>€ per ride</t>
  </si>
  <si>
    <t>SECTION 3: Variable Cost Drivers</t>
  </si>
  <si>
    <t>Maintenance Cost per Ride</t>
  </si>
  <si>
    <t>Cleaning Cost per Ride</t>
  </si>
  <si>
    <t>Parking Cost per Vehicle per Month</t>
  </si>
  <si>
    <t>€ per vehicle/month</t>
  </si>
  <si>
    <t>Logistics Cost per Vehicle per Month</t>
  </si>
  <si>
    <t>SECTION 4: Fixed Cost Drivers</t>
  </si>
  <si>
    <t>Insurance Cost per Vehicle per Month</t>
  </si>
  <si>
    <t>Depreciation per Vehicle per Month</t>
  </si>
  <si>
    <t>Platform Overhead Allocation per Month</t>
  </si>
  <si>
    <t>€ per month</t>
  </si>
  <si>
    <t>SECTION 5: Growth &amp; Scenario Drivers</t>
  </si>
  <si>
    <t>Monthly Fleet Growth Rate</t>
  </si>
  <si>
    <t>Monthly Price Growth Rate</t>
  </si>
  <si>
    <t>Monthly Cost Inflation Rate</t>
  </si>
  <si>
    <t>Color Key:</t>
  </si>
  <si>
    <t>Blue = Hardcoded Input</t>
  </si>
  <si>
    <t>Black = Formula / Scenario Logic</t>
  </si>
  <si>
    <t>Yellow cell = Scenario Selector</t>
  </si>
  <si>
    <t>Operating Days per Month</t>
  </si>
  <si>
    <t>days/month</t>
  </si>
  <si>
    <t>Unlock Fee per Ride</t>
  </si>
  <si>
    <t>Average Discount Rate</t>
  </si>
  <si>
    <t>VOLUME ENGINE — OPERATIONAL ACTIVITY MODEL</t>
  </si>
  <si>
    <t>Linked Operational Inputs</t>
  </si>
  <si>
    <t>Linked Value</t>
  </si>
  <si>
    <t>Core Activity &amp; KPI Metrics</t>
  </si>
  <si>
    <t>Metric</t>
  </si>
  <si>
    <t>Definition</t>
  </si>
  <si>
    <t>Value</t>
  </si>
  <si>
    <t>Available Minutes per Vehicle per Month</t>
  </si>
  <si>
    <t>Hours_Per_Day × 60 × Days_Per_Month</t>
  </si>
  <si>
    <t>Used Minutes per Vehicle per Month</t>
  </si>
  <si>
    <t>Available Minutes × Utilization_Rate</t>
  </si>
  <si>
    <t>Total Used Minutes (Fleet)</t>
  </si>
  <si>
    <t>Used Minutes per Vehicle × Fleet_Size</t>
  </si>
  <si>
    <t>Total Rides (Fleet)</t>
  </si>
  <si>
    <t>rides</t>
  </si>
  <si>
    <t>Total Used Minutes ÷ Avg_Ride_Duration</t>
  </si>
  <si>
    <t>Rides per Vehicle per Month</t>
  </si>
  <si>
    <t>Total Rides ÷ Fleet_Size</t>
  </si>
  <si>
    <t>Used Hours per Vehicle per Day</t>
  </si>
  <si>
    <t>hours</t>
  </si>
  <si>
    <t>Utilization_Rate × Hours_Per_Day</t>
  </si>
  <si>
    <t>Used Minutes per Vehicle per Day</t>
  </si>
  <si>
    <t>Used Minutes per Vehicle per Month ÷ Days_Per_Month</t>
  </si>
  <si>
    <t>Rides per Vehicle per Day</t>
  </si>
  <si>
    <t>Rides per Vehicle per Month ÷ Days_Per_Month</t>
  </si>
  <si>
    <t>Average Minutes per Ride (Sanity Check)</t>
  </si>
  <si>
    <t>Total Used Minutes ÷ Total Rides</t>
  </si>
  <si>
    <t>Utilization Check</t>
  </si>
  <si>
    <t>Used Minutes per Vehicle ÷ Available Minutes per Vehicle</t>
  </si>
  <si>
    <t>Green = Linked from Assumptions (via tblFleet)</t>
  </si>
  <si>
    <t>Black = Formula (references named inputs or prior rows)</t>
  </si>
  <si>
    <t>Available Minutes (Fleet)</t>
  </si>
  <si>
    <t>Available Minutes per Vehicle × Fleet_Size</t>
  </si>
  <si>
    <t>── KPI &amp; Diagnostic Metrics ──</t>
  </si>
  <si>
    <t>REVENUE ENGINE — SCENARIO-DRIVEN REVENUE MODEL</t>
  </si>
  <si>
    <t>Linked Pricing Inputs</t>
  </si>
  <si>
    <t>Linked Volume Outputs</t>
  </si>
  <si>
    <t>Revenue Calculations</t>
  </si>
  <si>
    <t>Fleet Minutes (for Revenue Calc)</t>
  </si>
  <si>
    <t>Linked from Volume Engine</t>
  </si>
  <si>
    <t>Fleet Rides (for Revenue Calc)</t>
  </si>
  <si>
    <t>Gross Time-Based Revenue</t>
  </si>
  <si>
    <t>€</t>
  </si>
  <si>
    <t>Fleet Minutes × Price per Minute</t>
  </si>
  <si>
    <t>Gross Unlock Revenue</t>
  </si>
  <si>
    <t>Fleet Rides × Unlock Fee per Ride</t>
  </si>
  <si>
    <t>Gross Revenue</t>
  </si>
  <si>
    <t>Time-Based Revenue + Unlock Revenue</t>
  </si>
  <si>
    <t>Discount Amount</t>
  </si>
  <si>
    <t>Gross Revenue × Discount Rate</t>
  </si>
  <si>
    <t>Net Revenue</t>
  </si>
  <si>
    <t>Gross Revenue − Discount Amount</t>
  </si>
  <si>
    <t>Green = Linked from Assumptions or Volume Engine</t>
  </si>
  <si>
    <t>Discount Rate (Reference)</t>
  </si>
  <si>
    <t>Linked from Pricing Inputs</t>
  </si>
  <si>
    <t>Gross Revenue per Ride</t>
  </si>
  <si>
    <t>Gross Revenue ÷ Fleet Rides</t>
  </si>
  <si>
    <t>Revenue per Ride (Net)</t>
  </si>
  <si>
    <t>Net Revenue ÷ Fleet Rides</t>
  </si>
  <si>
    <t>Revenue per Minute (Net)</t>
  </si>
  <si>
    <t>Net Revenue ÷ Fleet Minutes</t>
  </si>
  <si>
    <t>Revenue per Vehicle per Month (Net)</t>
  </si>
  <si>
    <t>Net Revenue ÷ Fleet Size</t>
  </si>
  <si>
    <t>VARIABLE COST ENGINE — SCENARIO-DRIVEN COST MODEL</t>
  </si>
  <si>
    <t>Linked Variable Cost Inputs</t>
  </si>
  <si>
    <t>Variable Cost Calculations</t>
  </si>
  <si>
    <t>Per-Ride Variable Costs</t>
  </si>
  <si>
    <t>Maintenance Cost (Total)</t>
  </si>
  <si>
    <t>Fleet_Rides × Maintenance_Per_Ride</t>
  </si>
  <si>
    <t>Cleaning Cost (Total)</t>
  </si>
  <si>
    <t>Fleet_Rides × Cleaning_Per_Ride</t>
  </si>
  <si>
    <t>Total Per-Ride Variable Costs</t>
  </si>
  <si>
    <t>Per-Vehicle Variable Costs</t>
  </si>
  <si>
    <t>Parking Cost (Total)</t>
  </si>
  <si>
    <t>Fleet_Size × Parking_Per_Vehicle</t>
  </si>
  <si>
    <t>Logistics Cost (Total)</t>
  </si>
  <si>
    <t>Fleet_Size × Logistics_Per_Vehicle</t>
  </si>
  <si>
    <t>Total Per-Vehicle Variable Costs</t>
  </si>
  <si>
    <t>Parking + Logistics</t>
  </si>
  <si>
    <t>Total Variable Costs</t>
  </si>
  <si>
    <t>Per-Ride + Per-Vehicle Variable Costs</t>
  </si>
  <si>
    <t>── Unit Economic KPIs ──</t>
  </si>
  <si>
    <t>Variable Cost per Ride</t>
  </si>
  <si>
    <t>Total Variable Costs ÷ Fleet_Rides</t>
  </si>
  <si>
    <t>Variable Cost per Vehicle per Month</t>
  </si>
  <si>
    <t>Total Variable Costs ÷ Fleet_Size</t>
  </si>
  <si>
    <t>Direct Cost per Ride (Ride-Only Costs)</t>
  </si>
  <si>
    <t>Total Per-Ride Variable Costs ÷ Fleet_Rides</t>
  </si>
  <si>
    <t>Black = Formula (named inputs or prior rows)</t>
  </si>
  <si>
    <t>Average Distance per Ride</t>
  </si>
  <si>
    <t>km/ride</t>
  </si>
  <si>
    <t>Energy Cost per km</t>
  </si>
  <si>
    <t>€/km</t>
  </si>
  <si>
    <t>Energy Cost (Total)</t>
  </si>
  <si>
    <t>Fleet_Rides × Avg_Distance_Per_Ride × Energy_Cost_Per_Km</t>
  </si>
  <si>
    <t>Maintenance + Cleaning + Energy</t>
  </si>
  <si>
    <t>FIXED COST ENGINE — SCENARIO-DRIVEN COST MODEL</t>
  </si>
  <si>
    <t>Linked Fixed Cost Inputs</t>
  </si>
  <si>
    <t>Fixed Cost Calculations</t>
  </si>
  <si>
    <t>Per-Vehicle Fixed Costs</t>
  </si>
  <si>
    <t>Insurance Cost (Total)</t>
  </si>
  <si>
    <t>Fleet_Size × Insurance_Per_Vehicle</t>
  </si>
  <si>
    <t>Depreciation Cost (Total)</t>
  </si>
  <si>
    <t>Fleet_Size × Depreciation_Per_Vehicle</t>
  </si>
  <si>
    <t>Insurance + Depreciation</t>
  </si>
  <si>
    <t>Corporate Fixed Costs</t>
  </si>
  <si>
    <t>Platform Overhead</t>
  </si>
  <si>
    <t>Linked from Assumptions</t>
  </si>
  <si>
    <t>Total Fixed Costs</t>
  </si>
  <si>
    <t>Per-Vehicle Fixed + Platform Overhead</t>
  </si>
  <si>
    <t>── KPI Metrics ──</t>
  </si>
  <si>
    <t>Fixed Cost per Vehicle per Month</t>
  </si>
  <si>
    <t>Total Fixed Costs ÷ Fleet_Size</t>
  </si>
  <si>
    <t>Fixed Cost per Ride</t>
  </si>
  <si>
    <t>Total Fixed Costs ÷ Fleet_Rides</t>
  </si>
  <si>
    <t>P&amp;L PROJECTION — 12-MONTH SCENARIO MODEL</t>
  </si>
  <si>
    <t>Linked Growth Drivers</t>
  </si>
  <si>
    <t>P&amp;L Projection — Monthly Build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</si>
  <si>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</si>
  <si>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</si>
  <si>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</si>
  <si>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</si>
  <si>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</si>
  <si>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</si>
  <si>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</si>
  <si>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</si>
  <si>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</si>
  <si>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</si>
  <si>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</si>
  <si>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</si>
  <si>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FY Total</t>
  </si>
  <si>
    <t>Fleet Size (vehicles)</t>
  </si>
  <si>
    <t>Revenue (Net)</t>
  </si>
  <si>
    <t>Variable Costs</t>
  </si>
  <si>
    <t>Contribution Margin</t>
  </si>
  <si>
    <t>Contribution Margin %</t>
  </si>
  <si>
    <t>EBITDA</t>
  </si>
  <si>
    <t>EBITDA Margin %</t>
  </si>
  <si>
    <t>Green = Linked from tblGrowth (Assumptions)</t>
  </si>
  <si>
    <t>Black = Formula (prior month × growth rates)</t>
  </si>
  <si>
    <t>Vehicle Fixed Costs (Total)</t>
  </si>
  <si>
    <t>SENSITIVITY ANALYSIS — FY TOTAL (12-MONTH)</t>
  </si>
  <si>
    <t>Each table shows FY Total output across a range of two drivers. Yellow cell = Base Case. Change Scenario in Assumptions to shift all base values.</t>
  </si>
  <si>
    <t>TABLE 1A — FY Net Revenue (€) | Price per Minute vs Utilization Rate</t>
  </si>
  <si>
    <t>Price/Min ↓  Util Rate →</t>
  </si>
  <si>
    <t>TABLE 1B — FY EBITDA Margin (%) | Price per Minute vs Utilization Rate</t>
  </si>
  <si>
    <t>TABLE 2A — FY Net Revenue (€) | Fleet Growth vs Price Growth</t>
  </si>
  <si>
    <t>Fleet Gr. ↓  Price Gr. →</t>
  </si>
  <si>
    <t>TABLE 2B — FY EBITDA Margin (%) | Fleet Growth vs Price Growth</t>
  </si>
  <si>
    <t>TABLE 3A — FY Net Revenue (€) | Cost Inflation vs Fleet Growth</t>
  </si>
  <si>
    <t>Cost Inf. ↓  Fleet Gr. →</t>
  </si>
  <si>
    <t>TABLE 3B — FY EBITDA Margin (%) | Cost Inflation vs Fleet Growth</t>
  </si>
  <si>
    <t>BOLT DRIVE — FP&amp;A DASHBOARD</t>
  </si>
  <si>
    <t>Active Scenario:</t>
  </si>
  <si>
    <t>Fleet Size</t>
  </si>
  <si>
    <t>vehicles (Month 12)</t>
  </si>
  <si>
    <t>€ (Month 12)</t>
  </si>
  <si>
    <t>EBITDA Margin</t>
  </si>
  <si>
    <t>% (Month 12)</t>
  </si>
  <si>
    <t>Revenue per Ride</t>
  </si>
  <si>
    <t>€ per ride (Month 12)</t>
  </si>
  <si>
    <t>Total Cost per Ride</t>
  </si>
  <si>
    <t>UNIT ECONOMICS — MONTH 12 SNAPSHOT</t>
  </si>
  <si>
    <t>rides/vehicle</t>
  </si>
  <si>
    <t>12-MONTH TREND CHARTS</t>
  </si>
  <si>
    <t>Month</t>
  </si>
  <si>
    <t>Revenue (€)</t>
  </si>
  <si>
    <t>EBITDA (€)</t>
  </si>
  <si>
    <t>RISK INSIGHT — EBITDA Margin: Price per Minute vs Utilization Rate</t>
  </si>
  <si>
    <t>FY EBITDA Margin sensitivity — Base Case highlighted in yellow. Green = better margin, Red = worse.</t>
  </si>
  <si>
    <t>Price/Min ↓  Util →</t>
  </si>
  <si>
    <t>Month 12 Snapshot + FY View</t>
  </si>
  <si>
    <t>Bolt Drive – FP&amp;A Economic Model</t>
  </si>
  <si>
    <t>Driver-Based Financial Model &amp; 12-Month Projection</t>
  </si>
  <si>
    <t>Purpose</t>
  </si>
  <si>
    <t>This model was built to understand the unit economics and operating leverage of a car-sharing business before stepping into the role.</t>
  </si>
  <si>
    <t>The objective is not to predict actual performance, but to demonstrate structured financial thinking around mobility economics.</t>
  </si>
  <si>
    <t>Scope</t>
  </si>
  <si>
    <t>•  Operational volume engine (fleet × utilization)</t>
  </si>
  <si>
    <t>•  Revenue build-up (gross to net)</t>
  </si>
  <si>
    <t>•  Variable and fixed cost architecture</t>
  </si>
  <si>
    <t>•  12-month projection with growth &amp; inflation</t>
  </si>
  <si>
    <t>•  Sensitivity analysis on key drivers</t>
  </si>
  <si>
    <t>•  Executive dashboard summarizing steady-state performance</t>
  </si>
  <si>
    <t>Perspective</t>
  </si>
  <si>
    <t>Built for: Associate FP&amp;A Analyst, Bolt Drive  ·  Tallinn, Estonia</t>
  </si>
  <si>
    <t>Rather than approaching the opportunity purely theoretically, I wanted to think through the key financial drivers in advance - revenue mechanics, utilization dynamics, cost structure, growth impact, and margin sensitivity.</t>
  </si>
  <si>
    <t>I am aware that the real business will be more nuanced than any external model can capture. This exercise reflects initiative and preparation - and a willingness to learn quickly from real data and real operational constraints.</t>
  </si>
  <si>
    <t>Note: All numbers in this model are hypothetical and used for illustrative purposes only. They do not represent actual Bolt Drive financials or forecasts.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</si>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</sst>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€#,##0.00"/>
    <numFmt numFmtId="166" formatCode="\€#,##0"/>
    <numFmt numFmtId="167" formatCode="#,##0.0"/>
    <numFmt numFmtId="168" formatCode="\€#,##0.000"/>
    <numFmt numFmtId="169" formatCode="0.0"/>
    <numFmt numFmtId="170" formatCode="\€0.00"/>
  </numFmts>
  <fonts count="3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1A1A2E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B8860B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i/>
      <sz val="10"/>
      <color rgb="FF444444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i/>
      <sz val="8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D700"/>
      <name val="Aptos Narrow"/>
      <family val="2"/>
      <scheme val="minor"/>
    </font>
    <font>
      <b/>
      <sz val="9"/>
      <color rgb="FFCCCCCC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8"/>
      <color rgb="FFAAAAAA"/>
      <name val="Aptos Narrow"/>
      <family val="2"/>
      <scheme val="minor"/>
    </font>
    <font>
      <i/>
      <sz val="9"/>
      <color rgb="FF555555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8"/>
      <color rgb="FF1A1A2E"/>
      <name val="Aptos Narrow"/>
      <family val="2"/>
      <scheme val="minor"/>
    </font>
    <font>
      <i/>
      <sz val="13"/>
      <color rgb="FF555555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i/>
      <sz val="11"/>
      <color rgb="FF888888"/>
      <name val="Aptos Narrow"/>
      <family val="2"/>
      <scheme val="minor"/>
    </font>
    <font>
      <b/>
      <i/>
      <sz val="11"/>
      <color rgb="FF999999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C3E7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FF7E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6B3A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F2F7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1A2E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4" fillId="2" borderId="0" xfId="0" applyFont="1" applyFill="1"/>
    <xf numFmtId="0" fontId="0" fillId="2" borderId="0" xfId="0" applyFill="1"/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 applyAlignment="1">
      <alignment horizontal="center"/>
    </xf>
    <xf numFmtId="0" fontId="6" fillId="2" borderId="0" xfId="0" applyFont="1" applyFill="1"/>
    <xf numFmtId="0" fontId="6" fillId="5" borderId="0" xfId="0" applyFont="1" applyFill="1"/>
    <xf numFmtId="165" fontId="0" fillId="0" borderId="0" xfId="0" applyNumberFormat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6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/>
    <xf numFmtId="0" fontId="12" fillId="0" borderId="0" xfId="0" applyFont="1"/>
    <xf numFmtId="164" fontId="12" fillId="0" borderId="0" xfId="0" applyNumberFormat="1" applyFont="1"/>
    <xf numFmtId="167" fontId="0" fillId="0" borderId="0" xfId="0" applyNumberFormat="1"/>
    <xf numFmtId="3" fontId="0" fillId="0" borderId="0" xfId="0" applyNumberFormat="1"/>
    <xf numFmtId="167" fontId="8" fillId="0" borderId="0" xfId="0" applyNumberFormat="1" applyFont="1"/>
    <xf numFmtId="3" fontId="8" fillId="0" borderId="0" xfId="0" applyNumberFormat="1" applyFont="1"/>
    <xf numFmtId="0" fontId="13" fillId="0" borderId="0" xfId="0" applyFont="1"/>
    <xf numFmtId="0" fontId="14" fillId="0" borderId="0" xfId="0" applyFont="1"/>
    <xf numFmtId="0" fontId="0" fillId="6" borderId="0" xfId="0" applyFill="1"/>
    <xf numFmtId="167" fontId="8" fillId="6" borderId="0" xfId="0" applyNumberFormat="1" applyFont="1" applyFill="1"/>
    <xf numFmtId="0" fontId="5" fillId="6" borderId="0" xfId="0" applyFont="1" applyFill="1"/>
    <xf numFmtId="165" fontId="12" fillId="0" borderId="0" xfId="0" applyNumberFormat="1" applyFont="1"/>
    <xf numFmtId="3" fontId="12" fillId="0" borderId="0" xfId="0" applyNumberFormat="1" applyFont="1"/>
    <xf numFmtId="166" fontId="10" fillId="0" borderId="0" xfId="0" applyNumberFormat="1" applyFont="1"/>
    <xf numFmtId="168" fontId="8" fillId="0" borderId="0" xfId="0" applyNumberFormat="1" applyFont="1"/>
    <xf numFmtId="0" fontId="2" fillId="7" borderId="0" xfId="0" applyFont="1" applyFill="1"/>
    <xf numFmtId="166" fontId="10" fillId="7" borderId="0" xfId="0" applyNumberFormat="1" applyFont="1" applyFill="1"/>
    <xf numFmtId="0" fontId="14" fillId="0" borderId="0" xfId="0" applyFont="1" applyAlignment="1">
      <alignment wrapText="1"/>
    </xf>
    <xf numFmtId="166" fontId="12" fillId="0" borderId="0" xfId="0" applyNumberFormat="1" applyFont="1"/>
    <xf numFmtId="169" fontId="7" fillId="0" borderId="0" xfId="0" applyNumberFormat="1" applyFont="1"/>
    <xf numFmtId="169" fontId="8" fillId="0" borderId="0" xfId="0" applyNumberFormat="1" applyFont="1"/>
    <xf numFmtId="0" fontId="0" fillId="8" borderId="0" xfId="0" applyFill="1"/>
    <xf numFmtId="0" fontId="8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9" borderId="0" xfId="0" applyFont="1" applyFill="1"/>
    <xf numFmtId="166" fontId="6" fillId="9" borderId="0" xfId="0" applyNumberFormat="1" applyFont="1" applyFill="1"/>
    <xf numFmtId="0" fontId="2" fillId="10" borderId="0" xfId="0" applyFont="1" applyFill="1"/>
    <xf numFmtId="166" fontId="10" fillId="10" borderId="0" xfId="0" applyNumberFormat="1" applyFont="1" applyFill="1"/>
    <xf numFmtId="0" fontId="0" fillId="11" borderId="0" xfId="0" applyFill="1"/>
    <xf numFmtId="164" fontId="15" fillId="11" borderId="0" xfId="0" applyNumberFormat="1" applyFont="1" applyFill="1"/>
    <xf numFmtId="0" fontId="2" fillId="12" borderId="0" xfId="0" applyFont="1" applyFill="1"/>
    <xf numFmtId="166" fontId="10" fillId="12" borderId="0" xfId="0" applyNumberFormat="1" applyFont="1" applyFill="1"/>
    <xf numFmtId="164" fontId="16" fillId="7" borderId="0" xfId="0" applyNumberFormat="1" applyFont="1" applyFill="1"/>
    <xf numFmtId="3" fontId="3" fillId="5" borderId="0" xfId="0" applyNumberFormat="1" applyFont="1" applyFill="1"/>
    <xf numFmtId="166" fontId="1" fillId="5" borderId="0" xfId="0" applyNumberFormat="1" applyFont="1" applyFill="1"/>
    <xf numFmtId="166" fontId="3" fillId="5" borderId="0" xfId="0" applyNumberFormat="1" applyFont="1" applyFill="1"/>
    <xf numFmtId="0" fontId="19" fillId="5" borderId="0" xfId="0" applyFont="1" applyFill="1"/>
    <xf numFmtId="164" fontId="6" fillId="5" borderId="0" xfId="0" applyNumberFormat="1" applyFont="1" applyFill="1" applyAlignment="1">
      <alignment horizontal="center"/>
    </xf>
    <xf numFmtId="170" fontId="6" fillId="5" borderId="0" xfId="0" applyNumberFormat="1" applyFont="1" applyFill="1" applyAlignment="1">
      <alignment horizontal="center"/>
    </xf>
    <xf numFmtId="166" fontId="10" fillId="4" borderId="0" xfId="0" applyNumberFormat="1" applyFont="1" applyFill="1"/>
    <xf numFmtId="164" fontId="10" fillId="4" borderId="0" xfId="0" applyNumberFormat="1" applyFont="1" applyFill="1"/>
    <xf numFmtId="0" fontId="21" fillId="2" borderId="0" xfId="0" applyFont="1" applyFill="1"/>
    <xf numFmtId="0" fontId="0" fillId="16" borderId="0" xfId="0" applyFill="1"/>
    <xf numFmtId="164" fontId="0" fillId="16" borderId="0" xfId="0" applyNumberFormat="1" applyFill="1"/>
    <xf numFmtId="165" fontId="0" fillId="16" borderId="0" xfId="0" applyNumberFormat="1" applyFill="1"/>
    <xf numFmtId="0" fontId="1" fillId="2" borderId="0" xfId="0" applyFont="1" applyFill="1"/>
    <xf numFmtId="0" fontId="26" fillId="2" borderId="0" xfId="0" applyFont="1" applyFill="1"/>
    <xf numFmtId="0" fontId="27" fillId="8" borderId="0" xfId="0" applyFont="1" applyFill="1"/>
    <xf numFmtId="0" fontId="28" fillId="8" borderId="0" xfId="0" applyFont="1" applyFill="1"/>
    <xf numFmtId="0" fontId="0" fillId="8" borderId="1" xfId="0" applyFill="1" applyBorder="1"/>
    <xf numFmtId="0" fontId="5" fillId="8" borderId="0" xfId="0" applyFont="1" applyFill="1"/>
    <xf numFmtId="0" fontId="29" fillId="8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30" fillId="8" borderId="0" xfId="0" applyFont="1" applyFill="1" applyAlignment="1">
      <alignment wrapText="1"/>
    </xf>
    <xf numFmtId="0" fontId="0" fillId="8" borderId="2" xfId="0" applyFill="1" applyBorder="1"/>
    <xf numFmtId="0" fontId="31" fillId="8" borderId="0" xfId="0" applyFont="1" applyFill="1"/>
    <xf numFmtId="0" fontId="20" fillId="2" borderId="0" xfId="0" applyFont="1" applyFill="1"/>
    <xf numFmtId="0" fontId="0" fillId="2" borderId="0" xfId="0" applyFill="1"/>
    <xf numFmtId="0" fontId="22" fillId="9" borderId="0" xfId="0" applyFont="1" applyFill="1" applyAlignment="1">
      <alignment horizontal="center"/>
    </xf>
    <xf numFmtId="0" fontId="0" fillId="9" borderId="0" xfId="0" applyFill="1"/>
    <xf numFmtId="3" fontId="23" fillId="9" borderId="0" xfId="0" applyNumberFormat="1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0" fillId="13" borderId="0" xfId="0" applyFill="1"/>
    <xf numFmtId="166" fontId="23" fillId="13" borderId="0" xfId="0" applyNumberFormat="1" applyFont="1" applyFill="1" applyAlignment="1">
      <alignment horizontal="center"/>
    </xf>
    <xf numFmtId="0" fontId="24" fillId="13" borderId="0" xfId="0" applyFont="1" applyFill="1" applyAlignment="1">
      <alignment horizontal="center"/>
    </xf>
    <xf numFmtId="166" fontId="23" fillId="9" borderId="0" xfId="0" applyNumberFormat="1" applyFont="1" applyFill="1" applyAlignment="1">
      <alignment horizontal="center"/>
    </xf>
    <xf numFmtId="0" fontId="25" fillId="0" borderId="0" xfId="0" applyFont="1"/>
    <xf numFmtId="0" fontId="0" fillId="0" borderId="0" xfId="0"/>
    <xf numFmtId="0" fontId="22" fillId="15" borderId="0" xfId="0" applyFont="1" applyFill="1" applyAlignment="1">
      <alignment horizontal="center"/>
    </xf>
    <xf numFmtId="0" fontId="0" fillId="15" borderId="0" xfId="0" applyFill="1"/>
    <xf numFmtId="165" fontId="23" fillId="15" borderId="0" xfId="0" applyNumberFormat="1" applyFont="1" applyFill="1" applyAlignment="1">
      <alignment horizontal="center"/>
    </xf>
    <xf numFmtId="0" fontId="24" fillId="15" borderId="0" xfId="0" applyFont="1" applyFill="1" applyAlignment="1">
      <alignment horizontal="center"/>
    </xf>
    <xf numFmtId="0" fontId="6" fillId="5" borderId="0" xfId="0" applyFont="1" applyFill="1"/>
    <xf numFmtId="0" fontId="0" fillId="5" borderId="0" xfId="0" applyFill="1"/>
    <xf numFmtId="164" fontId="23" fillId="13" borderId="0" xfId="0" applyNumberFormat="1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0" fontId="0" fillId="14" borderId="0" xfId="0" applyFill="1"/>
    <xf numFmtId="165" fontId="23" fillId="14" borderId="0" xfId="0" applyNumberFormat="1" applyFont="1" applyFill="1" applyAlignment="1">
      <alignment horizontal="center"/>
    </xf>
    <xf numFmtId="0" fontId="24" fillId="14" borderId="0" xfId="0" applyFont="1" applyFill="1" applyAlignment="1">
      <alignment horizontal="center"/>
    </xf>
    <xf numFmtId="0" fontId="4" fillId="2" borderId="0" xfId="0" applyFont="1" applyFill="1"/>
    <xf numFmtId="0" fontId="6" fillId="2" borderId="0" xfId="0" applyFont="1" applyFill="1"/>
    <xf numFmtId="0" fontId="18" fillId="9" borderId="0" xfId="0" applyFont="1" applyFill="1"/>
    <xf numFmtId="0" fontId="17" fillId="0" borderId="0" xfId="0" applyFon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\€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\€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color rgb="FF000000"/>
      </font>
      <numFmt numFmtId="0" formatCode="General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color rgb="FF000000"/>
      </font>
      <numFmt numFmtId="165" formatCode="\€#,##0.00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color rgb="FF000000"/>
      </font>
      <numFmt numFmtId="165" formatCode="\€#,##0.00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color rgb="FF000000"/>
      </font>
      <numFmt numFmtId="166" formatCode="\€#,##0"/>
    </dxf>
    <dxf>
      <font>
        <color rgb="FF0000FF"/>
      </font>
      <numFmt numFmtId="166" formatCode="\€#,##0"/>
    </dxf>
    <dxf>
      <font>
        <color rgb="FF0000FF"/>
      </font>
      <numFmt numFmtId="166" formatCode="\€#,##0"/>
    </dxf>
    <dxf>
      <font>
        <color rgb="FF0000FF"/>
      </font>
      <numFmt numFmtId="166" formatCode="\€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  <dxf>
      <font>
        <color rgb="FF000000"/>
      </font>
      <numFmt numFmtId="164" formatCode="0.0%"/>
    </dxf>
    <dxf>
      <font>
        <color rgb="FF0000FF"/>
      </font>
      <numFmt numFmtId="164" formatCode="0.0%"/>
    </dxf>
    <dxf>
      <font>
        <color rgb="FF0000FF"/>
      </font>
      <numFmt numFmtId="164" formatCode="0.0%"/>
    </dxf>
    <dxf>
      <font>
        <color rgb="FF0000FF"/>
      </font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3E7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Revenue — Month 1 to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Revenue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Dashboard!$B$19:$M$19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Dashboard!$B$20:$M$20</c:f>
              <c:numCache>
                <c:formatCode>General</c:formatCode>
                <c:ptCount val="12"/>
                <c:pt idx="0">
                  <c:v>938448</c:v>
                </c:pt>
                <c:pt idx="1">
                  <c:v>947832.48</c:v>
                </c:pt>
                <c:pt idx="2">
                  <c:v>957310.80480000004</c:v>
                </c:pt>
                <c:pt idx="3">
                  <c:v>966883.91284800007</c:v>
                </c:pt>
                <c:pt idx="4">
                  <c:v>976552.75197648013</c:v>
                </c:pt>
                <c:pt idx="5">
                  <c:v>986318.27949624497</c:v>
                </c:pt>
                <c:pt idx="6">
                  <c:v>996181.4622912074</c:v>
                </c:pt>
                <c:pt idx="7">
                  <c:v>1006143.2769141195</c:v>
                </c:pt>
                <c:pt idx="8">
                  <c:v>1016204.7096832606</c:v>
                </c:pt>
                <c:pt idx="9">
                  <c:v>1026366.7567800933</c:v>
                </c:pt>
                <c:pt idx="10">
                  <c:v>1036630.4243478943</c:v>
                </c:pt>
                <c:pt idx="11">
                  <c:v>1046996.7285913732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3-4195-B53B-A0DD8FE2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71439"/>
        <c:axId val="974069039"/>
      </c:lineChart>
      <c:catAx>
        <c:axId val="97407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69039"/>
        <c:crosses val="autoZero"/>
        <c:auto val="1"/>
        <c:lblAlgn val="ctr"/>
        <c:lblOffset val="100"/>
        <c:noMultiLvlLbl val="0"/>
      </c:catAx>
      <c:valAx>
        <c:axId val="97406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7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— Month 1 to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Dashboard!$A$23</c:f>
              <c:strCache>
                <c:ptCount val="1"/>
                <c:pt idx="0">
                  <c:v>EBITDA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Dashboard!$B$23:$M$23</c:f>
              <c:numCache>
                <c:formatCode>General</c:formatCode>
                <c:ptCount val="12"/>
                <c:pt idx="0">
                  <c:v>95874</c:v>
                </c:pt>
                <c:pt idx="1">
                  <c:v>80416.559000000008</c:v>
                </c:pt>
                <c:pt idx="2">
                  <c:v>64230.485709750123</c:v>
                </c:pt>
                <c:pt idx="3">
                  <c:v>47288.373578568862</c:v>
                </c:pt>
                <c:pt idx="4">
                  <c:v>29561.835635051539</c:v>
                </c:pt>
                <c:pt idx="5">
                  <c:v>11021.469855911389</c:v>
                </c:pt>
                <c:pt idx="6">
                  <c:v>-8363.1766848382831</c:v>
                </c:pt>
                <c:pt idx="7">
                  <c:v>-28623.644929298956</c:v>
                </c:pt>
                <c:pt idx="8">
                  <c:v>-49792.602256148792</c:v>
                </c:pt>
                <c:pt idx="9">
                  <c:v>-71903.882254162047</c:v>
                </c:pt>
                <c:pt idx="10">
                  <c:v>-94992.525896425359</c:v>
                </c:pt>
                <c:pt idx="11">
                  <c:v>-119094.82416455762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F-4BF3-8A33-8C137294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77679"/>
        <c:axId val="974069519"/>
      </c:lineChart>
      <c:catAx>
        <c:axId val="97407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69519"/>
        <c:crosses val="autoZero"/>
        <c:auto val="1"/>
        <c:lblAlgn val="ctr"/>
        <c:lblOffset val="100"/>
        <c:noMultiLvlLbl val="0"/>
      </c:catAx>
      <c:valAx>
        <c:axId val="9740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7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Fleet Size — Month 1 to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Fleet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Dashboard!$B$24:$M$24</c:f>
              <c:numCache>
                <c:formatCode>#,##0</c:formatCode>
                <c:ptCount val="12"/>
                <c:pt idx="0">
                  <c:v>350</c:v>
                </c:pt>
                <c:pt idx="1">
                  <c:v>353.5</c:v>
                </c:pt>
                <c:pt idx="2">
                  <c:v>357.03500000000003</c:v>
                </c:pt>
                <c:pt idx="3">
                  <c:v>360.60535000000004</c:v>
                </c:pt>
                <c:pt idx="4">
                  <c:v>364.21140350000007</c:v>
                </c:pt>
                <c:pt idx="5">
                  <c:v>367.85351753500009</c:v>
                </c:pt>
                <c:pt idx="6">
                  <c:v>371.53205271035011</c:v>
                </c:pt>
                <c:pt idx="7">
                  <c:v>375.24737323745364</c:v>
                </c:pt>
                <c:pt idx="8">
                  <c:v>378.99984696982818</c:v>
                </c:pt>
                <c:pt idx="9">
                  <c:v>382.78984543952646</c:v>
                </c:pt>
                <c:pt idx="10">
                  <c:v>386.61774389392173</c:v>
                </c:pt>
                <c:pt idx="11">
                  <c:v>390.48392133286097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A-4AC0-BCD4-C1F4CC4E9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71919"/>
        <c:axId val="974078639"/>
      </c:lineChart>
      <c:catAx>
        <c:axId val="974071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78639"/>
        <c:crosses val="autoZero"/>
        <c:auto val="1"/>
        <c:lblAlgn val="ctr"/>
        <c:lblOffset val="100"/>
        <c:noMultiLvlLbl val="0"/>
      </c:catAx>
      <c:valAx>
        <c:axId val="9740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7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3</xdr:col>
      <xdr:colOff>570271</xdr:colOff>
      <xdr:row>31</xdr:row>
      <xdr:rowOff>164690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43C9F0-5BD5-9916-C19F-8086D64B2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570257</xdr:colOff>
      <xdr:row>17</xdr:row>
      <xdr:rowOff>9145</xdr:rowOff>
    </xdr:from>
    <xdr:to>
      <xdr:col>11</xdr:col>
      <xdr:colOff>227562</xdr:colOff>
      <xdr:row>31</xdr:row>
      <xdr:rowOff>170908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BD4AEF-D04D-4E5B-3D91-2BC1755DB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232273</xdr:colOff>
      <xdr:row>17</xdr:row>
      <xdr:rowOff>20484</xdr:rowOff>
    </xdr:from>
    <xdr:to>
      <xdr:col>18</xdr:col>
      <xdr:colOff>529494</xdr:colOff>
      <xdr:row>32</xdr:row>
      <xdr:rowOff>1084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CB0303-8398-1753-784F-DAA57966F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6DD17F-1C0F-4ACD-8FF5-05ECA67EE5DF}" name="tblGrowth" displayName="tblGrowth" ref="A34:F37" totalsRowShown="0" headerRowDxfId="31">
  <autoFilter ref="A34:F37" xr:uid="{F56DD17F-1C0F-4ACD-8FF5-05ECA67EE5DF}"/>
  <tableColumns count="6">
    <tableColumn id="1" xr3:uid="{4410118B-0218-4717-8F88-DCDB1473CD7E}" name="Driver Name"/>
    <tableColumn id="2" xr3:uid="{6C36ADDE-C4B4-491E-B5B1-886C80F050F3}" name="Unit"/>
    <tableColumn id="3" xr3:uid="{3D76DEDC-1DCF-4596-8155-556E4E039EC7}" name="Base Case" dataDxfId="30"/>
    <tableColumn id="4" xr3:uid="{B062EEC7-24DC-4EEE-A9BB-84FF1A946F36}" name="Low Case" dataDxfId="29"/>
    <tableColumn id="5" xr3:uid="{F2B0A9B2-4B11-4053-A99F-9BE490ED55A8}" name="High Case" dataDxfId="28"/>
    <tableColumn id="6" xr3:uid="{8762B213-7205-4E38-92C2-0C366F623639}" name="Active Scenario Value" dataDxfId="27">
      <calculatedColumnFormula>IF($C$2="Base",tblGrowth[[#This Row],[Base Case]],IF($C$2="Low",tblGrowth[[#This Row],[Low Case]],IF($C$2="High",tblGrowth[[#This Row],[High Case]],"")))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90690-8533-4325-BC88-74B68F7A6767}" name="tblFixedCosts" displayName="tblFixedCosts" ref="A28:F31" totalsRowShown="0" headerRowDxfId="26">
  <autoFilter ref="A28:F31" xr:uid="{89C90690-8533-4325-BC88-74B68F7A6767}"/>
  <tableColumns count="6">
    <tableColumn id="1" xr3:uid="{3E219881-7C6C-4900-A437-8BBF3FF6846D}" name="Driver Name"/>
    <tableColumn id="2" xr3:uid="{EA59EB16-5519-4D90-8C40-9DF74E8304D3}" name="Unit"/>
    <tableColumn id="3" xr3:uid="{517C33D3-D6A4-4120-A15E-2A323D93D817}" name="Base Case" dataDxfId="25"/>
    <tableColumn id="4" xr3:uid="{A80070AF-94CF-4E43-84DA-85C3DE6B3752}" name="Low Case" dataDxfId="24"/>
    <tableColumn id="5" xr3:uid="{F0B56518-1307-4D09-93F9-906115F0034D}" name="High Case" dataDxfId="23"/>
    <tableColumn id="6" xr3:uid="{555140A4-D649-471C-8E94-887CBD416DD1}" name="Active Scenario Value" dataDxfId="22">
      <calculatedColumnFormula>IF($C$2="Base",tblFixedCosts[[#This Row],[Base Case]],IF($C$2="Low",tblFixedCosts[[#This Row],[Low Case]],IF($C$2="High",tblFixedCosts[[#This Row],[High Case]],"")))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20E24C-EDC6-4466-A1FB-5BCE3A83A222}" name="tblVariableCosts" displayName="tblVariableCosts" ref="A19:F25" totalsRowShown="0" headerRowDxfId="21">
  <autoFilter ref="A19:F25" xr:uid="{3B20E24C-EDC6-4466-A1FB-5BCE3A83A222}"/>
  <tableColumns count="6">
    <tableColumn id="1" xr3:uid="{C4E774E2-DEA2-46BD-B991-383AE15BABD7}" name="Driver Name"/>
    <tableColumn id="2" xr3:uid="{E3D90451-7CFE-4C5D-981A-21B7537288C5}" name="Unit"/>
    <tableColumn id="3" xr3:uid="{0B3B538E-2154-4047-A1B7-DE4EBA9A67C8}" name="Base Case" dataDxfId="20"/>
    <tableColumn id="4" xr3:uid="{E4D7D07E-E21E-4C0C-8DFA-AC959596C6EC}" name="Low Case" dataDxfId="19"/>
    <tableColumn id="5" xr3:uid="{25E5B88B-646C-481C-A253-F7CFAB6D4543}" name="High Case" dataDxfId="18"/>
    <tableColumn id="6" xr3:uid="{1C86C809-3ED8-4EF7-B4AD-C99E4CEC7A42}" name="Active Scenario Value" dataDxfId="17">
      <calculatedColumnFormula>IF($C$2="Base",tblVariableCosts[[#This Row],[Base Case]],IF($C$2="Low",tblVariableCosts[[#This Row],[Low Case]],IF($C$2="High",tblVariableCosts[[#This Row],[High Case]],"")))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EB7249-5A63-4C74-8D78-9B2B3285605B}" name="tblPricing" displayName="tblPricing" ref="A13:F16" totalsRowShown="0" headerRowDxfId="16">
  <autoFilter ref="A13:F16" xr:uid="{7DEB7249-5A63-4C74-8D78-9B2B3285605B}"/>
  <tableColumns count="6">
    <tableColumn id="1" xr3:uid="{F73A1B4B-F5F0-482F-9F53-AC013221B604}" name="Driver Name"/>
    <tableColumn id="2" xr3:uid="{0B191201-337D-4E03-8177-1EC4B94AA9B6}" name="Unit"/>
    <tableColumn id="3" xr3:uid="{C734FF44-131E-4D05-82CF-8A33C46B697F}" name="Base Case" dataDxfId="15"/>
    <tableColumn id="4" xr3:uid="{4149C208-CB74-406B-A100-2F50FA1C6273}" name="Low Case" dataDxfId="14"/>
    <tableColumn id="5" xr3:uid="{3E8567BC-CDEC-48B4-8B5B-E7C5086DFBA8}" name="High Case" dataDxfId="13"/>
    <tableColumn id="6" xr3:uid="{9AE41D1B-BBBE-49BC-A8A8-246323301B41}" name="Active Scenario Value" dataDxfId="12">
      <calculatedColumnFormula>IF($C$2="Base",tblPricing[[#This Row],[Base Case]],IF($C$2="Low",tblPricing[[#This Row],[Low Case]],IF($C$2="High",tblPricing[[#This Row],[High Case]],"")))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EBC4A-FA86-4CB5-8047-82A8DE99E988}" name="tblFleet" displayName="tblFleet" ref="A5:F10" totalsRowShown="0" headerRowDxfId="11">
  <autoFilter ref="A5:F10" xr:uid="{E26EBC4A-FA86-4CB5-8047-82A8DE99E988}"/>
  <tableColumns count="6">
    <tableColumn id="1" xr3:uid="{8514A5CD-4DE4-49CB-8E1F-7D2BB3875F52}" name="Driver Name"/>
    <tableColumn id="2" xr3:uid="{E6B1E028-7246-4CC0-9F28-8C0E0EE1A4E6}" name="Unit"/>
    <tableColumn id="3" xr3:uid="{37426B66-A1FA-4167-975A-2503BCAB9E8A}" name="Base Case" dataDxfId="10"/>
    <tableColumn id="4" xr3:uid="{D1B71885-0B08-473C-9662-478DB1A970B1}" name="Low Case" dataDxfId="9"/>
    <tableColumn id="5" xr3:uid="{A657F0E0-9D1B-4634-A73F-71ACEC276497}" name="High Case" dataDxfId="8"/>
    <tableColumn id="6" xr3:uid="{0B8BB03F-725D-4D68-B139-D2AD9BABB751}" name="Active Scenario Value" dataDxfId="7">
      <calculatedColumnFormula>IF($C$2="Base",tblFleet[[#This Row],[Base Case]],IF($C$2="Low",tblFleet[[#This Row],[Low Case]],IF($C$2="High",tblFleet[[#This Row],[High Case]],"")))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4F9968-E782-4EDD-A9DB-FA8D1D79C052}" name="tblVolumeEngine" displayName="tblVolumeEngine" ref="A12:D24" totalsRowShown="0" headerRowDxfId="6">
  <autoFilter ref="A12:D24" xr:uid="{C94F9968-E782-4EDD-A9DB-FA8D1D79C052}"/>
  <tableColumns count="4">
    <tableColumn id="1" xr3:uid="{9F13ADDC-4045-4306-8B15-065EC9B42F68}" name="Metric"/>
    <tableColumn id="2" xr3:uid="{F9038545-8B22-4603-9DE4-7D8142894FA2}" name="Unit"/>
    <tableColumn id="3" xr3:uid="{67002971-6045-4488-BFFD-B795E474E571}" name="Definition"/>
    <tableColumn id="4" xr3:uid="{11F412D2-2290-487A-87EA-BB55F613E3B7}" name="Value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A82A89-9AD4-44F9-8CDB-144F3C2C003A}" name="tblRevenueEngine" displayName="tblRevenueEngine" ref="A15:D27" totalsRowShown="0" headerRowDxfId="4">
  <autoFilter ref="A15:D27" xr:uid="{13A82A89-9AD4-44F9-8CDB-144F3C2C003A}"/>
  <tableColumns count="4">
    <tableColumn id="1" xr3:uid="{DE20A7B4-AC07-4DD4-BF5D-82F579D68573}" name="Metric"/>
    <tableColumn id="2" xr3:uid="{81F4056A-31D6-415D-B5FC-A515466893B6}" name="Unit"/>
    <tableColumn id="3" xr3:uid="{7394F2F4-8F12-4F88-885E-4BBB3358097D}" name="Definition"/>
    <tableColumn id="4" xr3:uid="{837D07F2-600C-40E2-99FD-1511C08B8A91}" name="Value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427E2C-7DD3-48FD-B0EA-2B109CBCB9A8}" name="tblVariableCostEngine" displayName="tblVariableCostEngine" ref="A18:D32" totalsRowShown="0" headerRowDxfId="2">
  <autoFilter ref="A18:D32" xr:uid="{39427E2C-7DD3-48FD-B0EA-2B109CBCB9A8}"/>
  <tableColumns count="4">
    <tableColumn id="1" xr3:uid="{BECE35D7-E611-43FF-BBEA-44CF81A5A780}" name="Metric"/>
    <tableColumn id="2" xr3:uid="{BDE87349-C68D-48EC-9D2D-E9E79683BC78}" name="Unit"/>
    <tableColumn id="3" xr3:uid="{D54DB3B8-B3E9-425B-8F8B-09161F55FD8E}" name="Definition"/>
    <tableColumn id="4" xr3:uid="{6E5017E9-CE6C-4C62-A63C-B545F427BFC6}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159D0B-F804-416B-8144-226EDC7C8589}" name="tblFixedCostEngine" displayName="tblFixedCostEngine" ref="A15:D25" totalsRowShown="0" headerRowDxfId="1">
  <autoFilter ref="A15:D25" xr:uid="{2B159D0B-F804-416B-8144-226EDC7C8589}"/>
  <tableColumns count="4">
    <tableColumn id="1" xr3:uid="{28DC95D4-A92E-41FA-AABA-66C8469B0F87}" name="Metric"/>
    <tableColumn id="2" xr3:uid="{E6FC968F-1775-46CE-BB56-B6592D4E447C}" name="Unit"/>
    <tableColumn id="3" xr3:uid="{60C03FA5-55D6-45AF-9257-162D8FC8037C}" name="Definition"/>
    <tableColumn id="4" xr3:uid="{5CC71A9A-32D6-4CA7-BD0E-87781E425579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591240-6078-4A4E-AFEE-B82B90574486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0A12-3F43-44C6-9C86-0170B5576D26}">
  <dimension ref="A1:C40"/>
  <sheetViews>
    <sheetView showGridLines="0" zoomScale="66" workbookViewId="0">
      <selection activeCell="F15" sqref="F15"/>
    </sheetView>
  </sheetViews>
  <sheetFormatPr defaultRowHeight="14.5" x14ac:dyDescent="0.35"/>
  <cols>
    <col min="2" max="2" width="74.08984375" bestFit="1" customWidth="1"/>
  </cols>
  <sheetData>
    <row r="1" spans="1:3" x14ac:dyDescent="0.35">
      <c r="A1" s="2"/>
      <c r="B1" s="2"/>
      <c r="C1" s="2"/>
    </row>
    <row r="2" spans="1:3" x14ac:dyDescent="0.35">
      <c r="A2" s="43"/>
      <c r="B2" s="43"/>
      <c r="C2" s="43"/>
    </row>
    <row r="3" spans="1:3" ht="37" x14ac:dyDescent="0.85">
      <c r="A3" s="43"/>
      <c r="B3" s="70" t="s">
        <v>216</v>
      </c>
      <c r="C3" s="43"/>
    </row>
    <row r="4" spans="1:3" ht="17" x14ac:dyDescent="0.4">
      <c r="A4" s="43"/>
      <c r="B4" s="71" t="s">
        <v>217</v>
      </c>
      <c r="C4" s="43"/>
    </row>
    <row r="5" spans="1:3" ht="15" thickBot="1" x14ac:dyDescent="0.4">
      <c r="A5" s="43"/>
      <c r="B5" s="72"/>
      <c r="C5" s="43"/>
    </row>
    <row r="6" spans="1:3" x14ac:dyDescent="0.35">
      <c r="A6" s="43"/>
      <c r="B6" s="43"/>
      <c r="C6" s="43"/>
    </row>
    <row r="7" spans="1:3" x14ac:dyDescent="0.35">
      <c r="A7" s="43"/>
      <c r="B7" s="73" t="s">
        <v>218</v>
      </c>
      <c r="C7" s="43"/>
    </row>
    <row r="8" spans="1:3" ht="43" customHeight="1" x14ac:dyDescent="0.35">
      <c r="A8" s="43"/>
      <c r="B8" s="74" t="s">
        <v>219</v>
      </c>
      <c r="C8" s="43"/>
    </row>
    <row r="9" spans="1:3" ht="46" customHeight="1" x14ac:dyDescent="0.35">
      <c r="A9" s="43"/>
      <c r="B9" s="74" t="s">
        <v>230</v>
      </c>
      <c r="C9" s="43"/>
    </row>
    <row r="10" spans="1:3" ht="35" customHeight="1" x14ac:dyDescent="0.35">
      <c r="A10" s="43"/>
      <c r="B10" s="74" t="s">
        <v>220</v>
      </c>
      <c r="C10" s="43"/>
    </row>
    <row r="11" spans="1:3" x14ac:dyDescent="0.35">
      <c r="A11" s="43"/>
      <c r="B11" s="43"/>
      <c r="C11" s="43"/>
    </row>
    <row r="12" spans="1:3" x14ac:dyDescent="0.35">
      <c r="A12" s="43"/>
      <c r="B12" s="75" t="s">
        <v>221</v>
      </c>
      <c r="C12" s="43"/>
    </row>
    <row r="13" spans="1:3" x14ac:dyDescent="0.35">
      <c r="A13" s="43"/>
      <c r="B13" s="74" t="s">
        <v>222</v>
      </c>
      <c r="C13" s="43"/>
    </row>
    <row r="14" spans="1:3" x14ac:dyDescent="0.35">
      <c r="A14" s="43"/>
      <c r="B14" s="74" t="s">
        <v>223</v>
      </c>
      <c r="C14" s="43"/>
    </row>
    <row r="15" spans="1:3" x14ac:dyDescent="0.35">
      <c r="A15" s="43"/>
      <c r="B15" s="74" t="s">
        <v>224</v>
      </c>
      <c r="C15" s="43"/>
    </row>
    <row r="16" spans="1:3" x14ac:dyDescent="0.35">
      <c r="A16" s="43"/>
      <c r="B16" s="74" t="s">
        <v>225</v>
      </c>
      <c r="C16" s="43"/>
    </row>
    <row r="17" spans="1:3" x14ac:dyDescent="0.35">
      <c r="A17" s="43"/>
      <c r="B17" s="74" t="s">
        <v>226</v>
      </c>
      <c r="C17" s="43"/>
    </row>
    <row r="18" spans="1:3" x14ac:dyDescent="0.35">
      <c r="A18" s="43"/>
      <c r="B18" s="74" t="s">
        <v>227</v>
      </c>
      <c r="C18" s="43"/>
    </row>
    <row r="19" spans="1:3" x14ac:dyDescent="0.35">
      <c r="A19" s="43"/>
      <c r="B19" s="43"/>
      <c r="C19" s="43"/>
    </row>
    <row r="20" spans="1:3" x14ac:dyDescent="0.35">
      <c r="A20" s="43"/>
      <c r="B20" s="75" t="s">
        <v>228</v>
      </c>
      <c r="C20" s="43"/>
    </row>
    <row r="21" spans="1:3" ht="43.5" x14ac:dyDescent="0.35">
      <c r="A21" s="43"/>
      <c r="B21" s="74" t="s">
        <v>231</v>
      </c>
      <c r="C21" s="43"/>
    </row>
    <row r="22" spans="1:3" ht="47" customHeight="1" x14ac:dyDescent="0.35">
      <c r="A22" s="43"/>
      <c r="B22" s="76" t="s">
        <v>232</v>
      </c>
      <c r="C22" s="43"/>
    </row>
    <row r="23" spans="1:3" x14ac:dyDescent="0.35">
      <c r="A23" s="43"/>
      <c r="B23" s="77"/>
      <c r="C23" s="43"/>
    </row>
    <row r="24" spans="1:3" x14ac:dyDescent="0.35">
      <c r="A24" s="43"/>
      <c r="B24" s="78" t="s">
        <v>229</v>
      </c>
      <c r="C24" s="43"/>
    </row>
    <row r="25" spans="1:3" x14ac:dyDescent="0.35">
      <c r="A25" s="43"/>
      <c r="B25" s="43"/>
      <c r="C25" s="43"/>
    </row>
    <row r="26" spans="1:3" x14ac:dyDescent="0.35">
      <c r="A26" s="43"/>
      <c r="B26" s="43"/>
      <c r="C26" s="43"/>
    </row>
    <row r="27" spans="1:3" x14ac:dyDescent="0.35">
      <c r="A27" s="43"/>
      <c r="B27" s="43"/>
      <c r="C27" s="43"/>
    </row>
    <row r="28" spans="1:3" x14ac:dyDescent="0.35">
      <c r="A28" s="43"/>
      <c r="B28" s="43"/>
      <c r="C28" s="43"/>
    </row>
    <row r="29" spans="1:3" x14ac:dyDescent="0.35">
      <c r="A29" s="43"/>
      <c r="B29" s="43"/>
      <c r="C29" s="43"/>
    </row>
    <row r="30" spans="1:3" x14ac:dyDescent="0.35">
      <c r="A30" s="43"/>
      <c r="B30" s="43"/>
      <c r="C30" s="43"/>
    </row>
    <row r="31" spans="1:3" x14ac:dyDescent="0.35">
      <c r="A31" s="43"/>
      <c r="B31" s="43"/>
      <c r="C31" s="43"/>
    </row>
    <row r="32" spans="1:3" x14ac:dyDescent="0.35">
      <c r="A32" s="43"/>
      <c r="B32" s="43"/>
      <c r="C32" s="43"/>
    </row>
    <row r="33" spans="1:3" x14ac:dyDescent="0.35">
      <c r="A33" s="43"/>
      <c r="B33" s="43"/>
      <c r="C33" s="43"/>
    </row>
    <row r="34" spans="1:3" x14ac:dyDescent="0.35">
      <c r="A34" s="43"/>
      <c r="B34" s="43"/>
      <c r="C34" s="43"/>
    </row>
    <row r="35" spans="1:3" x14ac:dyDescent="0.35">
      <c r="A35" s="43"/>
      <c r="B35" s="43"/>
      <c r="C35" s="43"/>
    </row>
    <row r="36" spans="1:3" x14ac:dyDescent="0.35">
      <c r="A36" s="43"/>
      <c r="B36" s="43"/>
      <c r="C36" s="43"/>
    </row>
    <row r="37" spans="1:3" x14ac:dyDescent="0.35">
      <c r="A37" s="43"/>
      <c r="B37" s="43"/>
      <c r="C37" s="43"/>
    </row>
    <row r="38" spans="1:3" x14ac:dyDescent="0.35">
      <c r="A38" s="43"/>
      <c r="B38" s="43"/>
      <c r="C38" s="43"/>
    </row>
    <row r="39" spans="1:3" x14ac:dyDescent="0.35">
      <c r="A39" s="43"/>
      <c r="B39" s="43"/>
      <c r="C39" s="43"/>
    </row>
    <row r="40" spans="1:3" x14ac:dyDescent="0.35">
      <c r="A40" s="43"/>
      <c r="B40" s="43"/>
      <c r="C40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EF9C-0DEC-4EA6-ADC7-13F041F9EE2A}">
  <dimension ref="A1:N41"/>
  <sheetViews>
    <sheetView zoomScale="56" workbookViewId="0">
      <pane ySplit="2" topLeftCell="A3" activePane="bottomLeft" state="frozen"/>
      <selection pane="bottomLeft" activeCell="D13" sqref="D13"/>
    </sheetView>
  </sheetViews>
  <sheetFormatPr defaultRowHeight="14.5" x14ac:dyDescent="0.35"/>
  <cols>
    <col min="1" max="1" width="23.36328125" bestFit="1" customWidth="1"/>
    <col min="2" max="2" width="9.81640625" bestFit="1" customWidth="1"/>
    <col min="3" max="3" width="24.26953125" bestFit="1" customWidth="1"/>
    <col min="4" max="13" width="8.81640625" bestFit="1" customWidth="1"/>
  </cols>
  <sheetData>
    <row r="1" spans="1:14" ht="21" x14ac:dyDescent="0.5">
      <c r="A1" s="79" t="s">
        <v>196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x14ac:dyDescent="0.35">
      <c r="A2" s="68" t="s">
        <v>197</v>
      </c>
      <c r="B2" s="64" t="str">
        <f>Assumptions!C2</f>
        <v>Low</v>
      </c>
      <c r="C2" s="69" t="s">
        <v>215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35">
      <c r="A4" s="81" t="s">
        <v>198</v>
      </c>
      <c r="B4" s="82"/>
      <c r="C4" s="85" t="s">
        <v>94</v>
      </c>
      <c r="D4" s="86"/>
      <c r="E4" s="81" t="s">
        <v>180</v>
      </c>
      <c r="F4" s="82"/>
      <c r="G4" s="85" t="s">
        <v>201</v>
      </c>
      <c r="H4" s="86"/>
      <c r="I4" s="99" t="s">
        <v>203</v>
      </c>
      <c r="J4" s="100"/>
      <c r="K4" s="92" t="s">
        <v>205</v>
      </c>
      <c r="L4" s="93"/>
    </row>
    <row r="5" spans="1:14" ht="23.5" x14ac:dyDescent="0.55000000000000004">
      <c r="A5" s="83">
        <f>'P&amp;L Projection (12M)'!M11</f>
        <v>390.48392133286097</v>
      </c>
      <c r="B5" s="82"/>
      <c r="C5" s="87">
        <f>'P&amp;L Projection (12M)'!M12</f>
        <v>1046996.7285913732</v>
      </c>
      <c r="D5" s="86"/>
      <c r="E5" s="89">
        <f>'P&amp;L Projection (12M)'!M21</f>
        <v>-119094.82416455762</v>
      </c>
      <c r="F5" s="82"/>
      <c r="G5" s="98">
        <f>'P&amp;L Projection (12M)'!M22</f>
        <v>-0.11374899358547902</v>
      </c>
      <c r="H5" s="86"/>
      <c r="I5" s="101">
        <f>'P&amp;L Projection (12M)'!M12/'P&amp;L Projection (12M)'!M11/_xlfn.XLOOKUP("Rides per Vehicle per Month",tblVolumeEngine[Metric],tblVolumeEngine[Value])</f>
        <v>3.419999999999999</v>
      </c>
      <c r="J5" s="100"/>
      <c r="K5" s="94">
        <f>('P&amp;L Projection (12M)'!M13+'P&amp;L Projection (12M)'!M19)/'P&amp;L Projection (12M)'!M11/_xlfn.XLOOKUP("Rides per Vehicle per Month",tblVolumeEngine[Metric],tblVolumeEngine[Value])</f>
        <v>3.8090215580623377</v>
      </c>
      <c r="L5" s="93"/>
    </row>
    <row r="6" spans="1:14" x14ac:dyDescent="0.35">
      <c r="A6" s="84" t="s">
        <v>199</v>
      </c>
      <c r="B6" s="82"/>
      <c r="C6" s="88" t="s">
        <v>200</v>
      </c>
      <c r="D6" s="86"/>
      <c r="E6" s="84" t="s">
        <v>200</v>
      </c>
      <c r="F6" s="82"/>
      <c r="G6" s="88" t="s">
        <v>202</v>
      </c>
      <c r="H6" s="86"/>
      <c r="I6" s="102" t="s">
        <v>204</v>
      </c>
      <c r="J6" s="100"/>
      <c r="K6" s="95" t="s">
        <v>204</v>
      </c>
      <c r="L6" s="93"/>
    </row>
    <row r="8" spans="1:14" x14ac:dyDescent="0.35">
      <c r="A8" s="96" t="s">
        <v>206</v>
      </c>
      <c r="B8" s="97"/>
      <c r="C8" s="97"/>
      <c r="D8" s="97"/>
      <c r="E8" s="97"/>
      <c r="F8" s="97"/>
    </row>
    <row r="9" spans="1:14" x14ac:dyDescent="0.35">
      <c r="A9" s="8" t="s">
        <v>48</v>
      </c>
      <c r="B9" s="8" t="s">
        <v>50</v>
      </c>
      <c r="C9" s="8" t="s">
        <v>4</v>
      </c>
    </row>
    <row r="10" spans="1:14" x14ac:dyDescent="0.35">
      <c r="A10" s="65" t="s">
        <v>179</v>
      </c>
      <c r="B10" s="66">
        <f>'P&amp;L Projection (12M)'!M15</f>
        <v>0.1159191731374276</v>
      </c>
      <c r="C10" s="65" t="s">
        <v>12</v>
      </c>
    </row>
    <row r="11" spans="1:14" x14ac:dyDescent="0.35">
      <c r="A11" t="s">
        <v>126</v>
      </c>
      <c r="B11" s="9">
        <f>_xlfn.XLOOKUP("Variable Cost per Ride",tblVariableCostEngine[Metric],tblVariableCostEngine[Value])</f>
        <v>2.3043877551020406</v>
      </c>
      <c r="C11" t="s">
        <v>20</v>
      </c>
    </row>
    <row r="12" spans="1:14" x14ac:dyDescent="0.35">
      <c r="A12" s="65" t="s">
        <v>157</v>
      </c>
      <c r="B12" s="67">
        <f>_xlfn.XLOOKUP("Fixed Cost per Ride",tblFixedCostEngine[Metric],tblFixedCostEngine[Value])</f>
        <v>0.76621720116618075</v>
      </c>
      <c r="C12" s="65" t="s">
        <v>20</v>
      </c>
    </row>
    <row r="13" spans="1:14" x14ac:dyDescent="0.35">
      <c r="A13" t="s">
        <v>60</v>
      </c>
      <c r="B13" s="24">
        <f>_xlfn.XLOOKUP("Rides per Vehicle per Month",tblVolumeEngine[Metric],tblVolumeEngine[Value])</f>
        <v>784</v>
      </c>
      <c r="C13" t="s">
        <v>207</v>
      </c>
    </row>
    <row r="14" spans="1:14" x14ac:dyDescent="0.35">
      <c r="A14" s="65" t="s">
        <v>11</v>
      </c>
      <c r="B14" s="66">
        <f>_xlfn.XLOOKUP("Utilization Rate",tblFleet[Driver Name],tblFleet[Active Scenario Value])</f>
        <v>0.5</v>
      </c>
      <c r="C14" s="65" t="s">
        <v>12</v>
      </c>
    </row>
    <row r="17" spans="1:14" x14ac:dyDescent="0.35">
      <c r="A17" s="96" t="s">
        <v>208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</row>
    <row r="19" spans="1:14" x14ac:dyDescent="0.35">
      <c r="A19" t="s">
        <v>209</v>
      </c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167</v>
      </c>
      <c r="H19" t="s">
        <v>168</v>
      </c>
      <c r="I19" t="s">
        <v>169</v>
      </c>
      <c r="J19" t="s">
        <v>170</v>
      </c>
      <c r="K19" t="s">
        <v>171</v>
      </c>
      <c r="L19" t="s">
        <v>172</v>
      </c>
      <c r="M19" t="s">
        <v>173</v>
      </c>
    </row>
    <row r="20" spans="1:14" x14ac:dyDescent="0.35">
      <c r="A20" t="s">
        <v>210</v>
      </c>
      <c r="B20">
        <f>'P&amp;L Projection (12M)'!B12</f>
        <v>938448</v>
      </c>
      <c r="C20">
        <f>'P&amp;L Projection (12M)'!C12</f>
        <v>947832.48</v>
      </c>
      <c r="D20">
        <f>'P&amp;L Projection (12M)'!D12</f>
        <v>957310.80480000004</v>
      </c>
      <c r="E20">
        <f>'P&amp;L Projection (12M)'!E12</f>
        <v>966883.91284800007</v>
      </c>
      <c r="F20">
        <f>'P&amp;L Projection (12M)'!F12</f>
        <v>976552.75197648013</v>
      </c>
      <c r="G20">
        <f>'P&amp;L Projection (12M)'!G12</f>
        <v>986318.27949624497</v>
      </c>
      <c r="H20">
        <f>'P&amp;L Projection (12M)'!H12</f>
        <v>996181.4622912074</v>
      </c>
      <c r="I20">
        <f>'P&amp;L Projection (12M)'!I12</f>
        <v>1006143.2769141195</v>
      </c>
      <c r="J20">
        <f>'P&amp;L Projection (12M)'!J12</f>
        <v>1016204.7096832606</v>
      </c>
      <c r="K20">
        <f>'P&amp;L Projection (12M)'!K12</f>
        <v>1026366.7567800933</v>
      </c>
      <c r="L20">
        <f>'P&amp;L Projection (12M)'!L12</f>
        <v>1036630.4243478943</v>
      </c>
      <c r="M20">
        <f>'P&amp;L Projection (12M)'!M12</f>
        <v>1046996.7285913732</v>
      </c>
    </row>
    <row r="21" spans="1:14" x14ac:dyDescent="0.35">
      <c r="A21" t="s">
        <v>211</v>
      </c>
      <c r="B21">
        <f>'P&amp;L Projection (12M)'!B21</f>
        <v>95874</v>
      </c>
      <c r="C21">
        <f>'P&amp;L Projection (12M)'!C21</f>
        <v>80416.559000000008</v>
      </c>
      <c r="D21">
        <f>'P&amp;L Projection (12M)'!D21</f>
        <v>64230.485709750123</v>
      </c>
      <c r="E21">
        <f>'P&amp;L Projection (12M)'!E21</f>
        <v>47288.373578568862</v>
      </c>
      <c r="F21">
        <f>'P&amp;L Projection (12M)'!F21</f>
        <v>29561.835635051539</v>
      </c>
      <c r="G21">
        <f>'P&amp;L Projection (12M)'!G21</f>
        <v>11021.469855911389</v>
      </c>
      <c r="H21">
        <f>'P&amp;L Projection (12M)'!H21</f>
        <v>-8363.1766848382831</v>
      </c>
      <c r="I21">
        <f>'P&amp;L Projection (12M)'!I21</f>
        <v>-28623.644929298956</v>
      </c>
      <c r="J21">
        <f>'P&amp;L Projection (12M)'!J21</f>
        <v>-49792.602256148792</v>
      </c>
      <c r="K21">
        <f>'P&amp;L Projection (12M)'!K21</f>
        <v>-71903.882254162047</v>
      </c>
      <c r="L21">
        <f>'P&amp;L Projection (12M)'!L21</f>
        <v>-94992.525896425359</v>
      </c>
      <c r="M21">
        <f>'P&amp;L Projection (12M)'!M21</f>
        <v>-119094.82416455762</v>
      </c>
    </row>
    <row r="22" spans="1:14" x14ac:dyDescent="0.35">
      <c r="A22" t="s">
        <v>198</v>
      </c>
      <c r="B22" s="25">
        <f>'P&amp;L Projection (12M)'!B11</f>
        <v>350</v>
      </c>
      <c r="C22" s="25">
        <f>'P&amp;L Projection (12M)'!C11</f>
        <v>353.5</v>
      </c>
      <c r="D22" s="25">
        <f>'P&amp;L Projection (12M)'!D11</f>
        <v>357.03500000000003</v>
      </c>
      <c r="E22" s="25">
        <f>'P&amp;L Projection (12M)'!E11</f>
        <v>360.60535000000004</v>
      </c>
      <c r="F22" s="25">
        <f>'P&amp;L Projection (12M)'!F11</f>
        <v>364.21140350000007</v>
      </c>
      <c r="G22" s="25">
        <f>'P&amp;L Projection (12M)'!G11</f>
        <v>367.85351753500009</v>
      </c>
      <c r="H22" s="25">
        <f>'P&amp;L Projection (12M)'!H11</f>
        <v>371.53205271035011</v>
      </c>
      <c r="I22" s="25">
        <f>'P&amp;L Projection (12M)'!I11</f>
        <v>375.24737323745364</v>
      </c>
      <c r="J22" s="25">
        <f>'P&amp;L Projection (12M)'!J11</f>
        <v>378.99984696982818</v>
      </c>
      <c r="K22" s="25">
        <f>'P&amp;L Projection (12M)'!K11</f>
        <v>382.78984543952646</v>
      </c>
      <c r="L22" s="25">
        <f>'P&amp;L Projection (12M)'!L11</f>
        <v>386.61774389392173</v>
      </c>
      <c r="M22" s="25">
        <f>'P&amp;L Projection (12M)'!M11</f>
        <v>390.48392133286097</v>
      </c>
    </row>
    <row r="23" spans="1:14" x14ac:dyDescent="0.35">
      <c r="A23" t="s">
        <v>211</v>
      </c>
      <c r="B23">
        <f>'P&amp;L Projection (12M)'!B21</f>
        <v>95874</v>
      </c>
      <c r="C23">
        <f>'P&amp;L Projection (12M)'!C21</f>
        <v>80416.559000000008</v>
      </c>
      <c r="D23">
        <f>'P&amp;L Projection (12M)'!D21</f>
        <v>64230.485709750123</v>
      </c>
      <c r="E23">
        <f>'P&amp;L Projection (12M)'!E21</f>
        <v>47288.373578568862</v>
      </c>
      <c r="F23">
        <f>'P&amp;L Projection (12M)'!F21</f>
        <v>29561.835635051539</v>
      </c>
      <c r="G23">
        <f>'P&amp;L Projection (12M)'!G21</f>
        <v>11021.469855911389</v>
      </c>
      <c r="H23">
        <f>'P&amp;L Projection (12M)'!H21</f>
        <v>-8363.1766848382831</v>
      </c>
      <c r="I23">
        <f>'P&amp;L Projection (12M)'!I21</f>
        <v>-28623.644929298956</v>
      </c>
      <c r="J23">
        <f>'P&amp;L Projection (12M)'!J21</f>
        <v>-49792.602256148792</v>
      </c>
      <c r="K23">
        <f>'P&amp;L Projection (12M)'!K21</f>
        <v>-71903.882254162047</v>
      </c>
      <c r="L23">
        <f>'P&amp;L Projection (12M)'!L21</f>
        <v>-94992.525896425359</v>
      </c>
      <c r="M23">
        <f>'P&amp;L Projection (12M)'!M21</f>
        <v>-119094.82416455762</v>
      </c>
    </row>
    <row r="24" spans="1:14" x14ac:dyDescent="0.35">
      <c r="A24" t="s">
        <v>198</v>
      </c>
      <c r="B24" s="25">
        <f>'P&amp;L Projection (12M)'!B11</f>
        <v>350</v>
      </c>
      <c r="C24" s="25">
        <f>'P&amp;L Projection (12M)'!C11</f>
        <v>353.5</v>
      </c>
      <c r="D24" s="25">
        <f>'P&amp;L Projection (12M)'!D11</f>
        <v>357.03500000000003</v>
      </c>
      <c r="E24" s="25">
        <f>'P&amp;L Projection (12M)'!E11</f>
        <v>360.60535000000004</v>
      </c>
      <c r="F24" s="25">
        <f>'P&amp;L Projection (12M)'!F11</f>
        <v>364.21140350000007</v>
      </c>
      <c r="G24" s="25">
        <f>'P&amp;L Projection (12M)'!G11</f>
        <v>367.85351753500009</v>
      </c>
      <c r="H24" s="25">
        <f>'P&amp;L Projection (12M)'!H11</f>
        <v>371.53205271035011</v>
      </c>
      <c r="I24" s="25">
        <f>'P&amp;L Projection (12M)'!I11</f>
        <v>375.24737323745364</v>
      </c>
      <c r="J24" s="25">
        <f>'P&amp;L Projection (12M)'!J11</f>
        <v>378.99984696982818</v>
      </c>
      <c r="K24" s="25">
        <f>'P&amp;L Projection (12M)'!K11</f>
        <v>382.78984543952646</v>
      </c>
      <c r="L24" s="25">
        <f>'P&amp;L Projection (12M)'!L11</f>
        <v>386.61774389392173</v>
      </c>
      <c r="M24" s="25">
        <f>'P&amp;L Projection (12M)'!M11</f>
        <v>390.48392133286097</v>
      </c>
    </row>
    <row r="34" spans="1:6" x14ac:dyDescent="0.35">
      <c r="A34" s="96" t="s">
        <v>212</v>
      </c>
      <c r="B34" s="97"/>
      <c r="C34" s="97"/>
      <c r="D34" s="97"/>
      <c r="E34" s="97"/>
      <c r="F34" s="97"/>
    </row>
    <row r="35" spans="1:6" x14ac:dyDescent="0.35">
      <c r="A35" s="90" t="s">
        <v>213</v>
      </c>
      <c r="B35" s="91"/>
      <c r="C35" s="91"/>
      <c r="D35" s="91"/>
      <c r="E35" s="91"/>
      <c r="F35" s="91"/>
    </row>
    <row r="36" spans="1:6" x14ac:dyDescent="0.35">
      <c r="A36" s="59" t="s">
        <v>214</v>
      </c>
      <c r="B36" s="60">
        <f>'Sensitivity Analysis'!B13</f>
        <v>0.5</v>
      </c>
      <c r="C36" s="60">
        <f>'Sensitivity Analysis'!C13</f>
        <v>0.57499999999999996</v>
      </c>
      <c r="D36" s="60">
        <f>'Sensitivity Analysis'!D13</f>
        <v>0.65</v>
      </c>
      <c r="E36" s="60">
        <f>'Sensitivity Analysis'!E13</f>
        <v>0.72499999999999998</v>
      </c>
      <c r="F36" s="60">
        <f>'Sensitivity Analysis'!F13</f>
        <v>0.8</v>
      </c>
    </row>
    <row r="37" spans="1:6" x14ac:dyDescent="0.35">
      <c r="A37" s="61">
        <f>'Sensitivity Analysis'!A14</f>
        <v>0.21</v>
      </c>
      <c r="B37" s="15">
        <f>'Sensitivity Analysis'!B14</f>
        <v>0.49</v>
      </c>
      <c r="C37" s="15">
        <f>'Sensitivity Analysis'!C14</f>
        <v>0.51190000000000002</v>
      </c>
      <c r="D37" s="15">
        <f>'Sensitivity Analysis'!D14</f>
        <v>0.52869999999999995</v>
      </c>
      <c r="E37" s="15">
        <f>'Sensitivity Analysis'!E14</f>
        <v>0.54200000000000004</v>
      </c>
      <c r="F37" s="15">
        <f>'Sensitivity Analysis'!F14</f>
        <v>0.55279999999999996</v>
      </c>
    </row>
    <row r="38" spans="1:6" x14ac:dyDescent="0.35">
      <c r="A38" s="61">
        <f>'Sensitivity Analysis'!A15</f>
        <v>0.25</v>
      </c>
      <c r="B38" s="15">
        <f>'Sensitivity Analysis'!B15</f>
        <v>0.55969999999999998</v>
      </c>
      <c r="C38" s="15">
        <f>'Sensitivity Analysis'!C15</f>
        <v>0.57850000000000001</v>
      </c>
      <c r="D38" s="15">
        <f>'Sensitivity Analysis'!D15</f>
        <v>0.59299999999999997</v>
      </c>
      <c r="E38" s="15">
        <f>'Sensitivity Analysis'!E15</f>
        <v>0.60450000000000004</v>
      </c>
      <c r="F38" s="15">
        <f>'Sensitivity Analysis'!F15</f>
        <v>0.6139</v>
      </c>
    </row>
    <row r="39" spans="1:6" x14ac:dyDescent="0.35">
      <c r="A39" s="61">
        <f>'Sensitivity Analysis'!A16</f>
        <v>0.28999999999999998</v>
      </c>
      <c r="B39" s="15">
        <f>'Sensitivity Analysis'!B16</f>
        <v>0.61260000000000003</v>
      </c>
      <c r="C39" s="15">
        <f>'Sensitivity Analysis'!C16</f>
        <v>0.62919999999999998</v>
      </c>
      <c r="D39" s="63">
        <f>'Sensitivity Analysis'!D16</f>
        <v>0.64190000000000003</v>
      </c>
      <c r="E39" s="15">
        <f>'Sensitivity Analysis'!E16</f>
        <v>0.65210000000000001</v>
      </c>
      <c r="F39" s="15">
        <f>'Sensitivity Analysis'!F16</f>
        <v>0.6603</v>
      </c>
    </row>
    <row r="40" spans="1:6" x14ac:dyDescent="0.35">
      <c r="A40" s="61">
        <f>'Sensitivity Analysis'!A17</f>
        <v>0.33</v>
      </c>
      <c r="B40" s="15">
        <f>'Sensitivity Analysis'!B17</f>
        <v>0.6542</v>
      </c>
      <c r="C40" s="15">
        <f>'Sensitivity Analysis'!C17</f>
        <v>0.66900000000000004</v>
      </c>
      <c r="D40" s="15">
        <f>'Sensitivity Analysis'!D17</f>
        <v>0.6804</v>
      </c>
      <c r="E40" s="15">
        <f>'Sensitivity Analysis'!E17</f>
        <v>0.68940000000000001</v>
      </c>
      <c r="F40" s="15">
        <f>'Sensitivity Analysis'!F17</f>
        <v>0.69669999999999999</v>
      </c>
    </row>
    <row r="41" spans="1:6" x14ac:dyDescent="0.35">
      <c r="A41" s="61">
        <f>'Sensitivity Analysis'!A18</f>
        <v>0.37</v>
      </c>
      <c r="B41" s="15">
        <f>'Sensitivity Analysis'!B18</f>
        <v>0.68769999999999998</v>
      </c>
      <c r="C41" s="15">
        <f>'Sensitivity Analysis'!C18</f>
        <v>0.70099999999999996</v>
      </c>
      <c r="D41" s="15">
        <f>'Sensitivity Analysis'!D18</f>
        <v>0.71130000000000004</v>
      </c>
      <c r="E41" s="15">
        <f>'Sensitivity Analysis'!E18</f>
        <v>0.71950000000000003</v>
      </c>
      <c r="F41" s="15">
        <f>'Sensitivity Analysis'!F18</f>
        <v>0.72609999999999997</v>
      </c>
    </row>
  </sheetData>
  <mergeCells count="23">
    <mergeCell ref="A35:F35"/>
    <mergeCell ref="K4:L4"/>
    <mergeCell ref="K5:L5"/>
    <mergeCell ref="K6:L6"/>
    <mergeCell ref="A8:F8"/>
    <mergeCell ref="A17:N17"/>
    <mergeCell ref="A34:F34"/>
    <mergeCell ref="G4:H4"/>
    <mergeCell ref="G5:H5"/>
    <mergeCell ref="G6:H6"/>
    <mergeCell ref="I4:J4"/>
    <mergeCell ref="I5:J5"/>
    <mergeCell ref="I6:J6"/>
    <mergeCell ref="A1:N1"/>
    <mergeCell ref="A4:B4"/>
    <mergeCell ref="A5:B5"/>
    <mergeCell ref="A6:B6"/>
    <mergeCell ref="C4:D4"/>
    <mergeCell ref="C5:D5"/>
    <mergeCell ref="C6:D6"/>
    <mergeCell ref="E4:F4"/>
    <mergeCell ref="E5:F5"/>
    <mergeCell ref="E6:F6"/>
  </mergeCells>
  <conditionalFormatting sqref="B37:F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DB62-46A2-47CC-AA4B-E58E5818CD80}">
  <dimension ref="A1:F39"/>
  <sheetViews>
    <sheetView zoomScale="67" workbookViewId="0">
      <pane ySplit="3" topLeftCell="A7" activePane="bottomLeft" state="frozen"/>
      <selection pane="bottomLeft" activeCell="F14" sqref="F14"/>
    </sheetView>
  </sheetViews>
  <sheetFormatPr defaultRowHeight="14.5" x14ac:dyDescent="0.35"/>
  <cols>
    <col min="1" max="1" width="46.6328125" bestFit="1" customWidth="1"/>
    <col min="2" max="2" width="22.54296875" customWidth="1"/>
    <col min="3" max="3" width="11.36328125" customWidth="1"/>
    <col min="4" max="4" width="10.6328125" customWidth="1"/>
    <col min="5" max="5" width="11.1796875" customWidth="1"/>
    <col min="6" max="6" width="20.81640625" customWidth="1"/>
  </cols>
  <sheetData>
    <row r="1" spans="1:6" ht="18.5" x14ac:dyDescent="0.45">
      <c r="A1" s="1" t="s">
        <v>0</v>
      </c>
      <c r="B1" s="2"/>
      <c r="C1" s="2"/>
      <c r="D1" s="2"/>
      <c r="E1" s="2"/>
      <c r="F1" s="2"/>
    </row>
    <row r="2" spans="1:6" x14ac:dyDescent="0.35">
      <c r="A2" s="3"/>
      <c r="B2" s="5" t="s">
        <v>1</v>
      </c>
      <c r="C2" s="6" t="s">
        <v>233</v>
      </c>
      <c r="D2" s="3"/>
      <c r="E2" s="3"/>
      <c r="F2" s="3"/>
    </row>
    <row r="4" spans="1:6" x14ac:dyDescent="0.35">
      <c r="A4" s="7" t="s">
        <v>2</v>
      </c>
      <c r="B4" s="2"/>
      <c r="C4" s="2"/>
      <c r="D4" s="2"/>
      <c r="E4" s="2"/>
      <c r="F4" s="2"/>
    </row>
    <row r="5" spans="1:6" x14ac:dyDescent="0.3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</row>
    <row r="6" spans="1:6" x14ac:dyDescent="0.35">
      <c r="A6" t="s">
        <v>9</v>
      </c>
      <c r="B6" t="s">
        <v>10</v>
      </c>
      <c r="C6" s="10">
        <v>500</v>
      </c>
      <c r="D6" s="10">
        <v>350</v>
      </c>
      <c r="E6" s="10">
        <v>700</v>
      </c>
      <c r="F6" s="14">
        <f>IF($C$2="Base",tblFleet[[#This Row],[Base Case]],IF($C$2="Low",tblFleet[[#This Row],[Low Case]],IF($C$2="High",tblFleet[[#This Row],[High Case]],"")))</f>
        <v>350</v>
      </c>
    </row>
    <row r="7" spans="1:6" x14ac:dyDescent="0.35">
      <c r="A7" t="s">
        <v>11</v>
      </c>
      <c r="B7" t="s">
        <v>12</v>
      </c>
      <c r="C7" s="11">
        <v>0.65</v>
      </c>
      <c r="D7" s="11">
        <v>0.5</v>
      </c>
      <c r="E7" s="11">
        <v>0.8</v>
      </c>
      <c r="F7" s="15">
        <f>IF($C$2="Base",tblFleet[[#This Row],[Base Case]],IF($C$2="Low",tblFleet[[#This Row],[Low Case]],IF($C$2="High",tblFleet[[#This Row],[High Case]],"")))</f>
        <v>0.5</v>
      </c>
    </row>
    <row r="8" spans="1:6" x14ac:dyDescent="0.35">
      <c r="A8" t="s">
        <v>13</v>
      </c>
      <c r="B8" t="s">
        <v>14</v>
      </c>
      <c r="C8" s="10">
        <v>18</v>
      </c>
      <c r="D8" s="10">
        <v>14</v>
      </c>
      <c r="E8" s="10">
        <v>22</v>
      </c>
      <c r="F8" s="14">
        <f>IF($C$2="Base",tblFleet[[#This Row],[Base Case]],IF($C$2="Low",tblFleet[[#This Row],[Low Case]],IF($C$2="High",tblFleet[[#This Row],[High Case]],"")))</f>
        <v>14</v>
      </c>
    </row>
    <row r="9" spans="1:6" x14ac:dyDescent="0.35">
      <c r="A9" t="s">
        <v>15</v>
      </c>
      <c r="B9" t="s">
        <v>16</v>
      </c>
      <c r="C9" s="10">
        <v>22</v>
      </c>
      <c r="D9" s="10">
        <v>15</v>
      </c>
      <c r="E9" s="10">
        <v>30</v>
      </c>
      <c r="F9" s="14">
        <f>IF($C$2="Base",tblFleet[[#This Row],[Base Case]],IF($C$2="Low",tblFleet[[#This Row],[Low Case]],IF($C$2="High",tblFleet[[#This Row],[High Case]],"")))</f>
        <v>15</v>
      </c>
    </row>
    <row r="10" spans="1:6" x14ac:dyDescent="0.35">
      <c r="A10" t="s">
        <v>40</v>
      </c>
      <c r="B10" t="s">
        <v>41</v>
      </c>
      <c r="C10" s="10">
        <v>30</v>
      </c>
      <c r="D10" s="10">
        <v>28</v>
      </c>
      <c r="E10" s="10">
        <v>31</v>
      </c>
      <c r="F10" s="14">
        <f>IF($C$2="Base",tblFleet[[#This Row],[Base Case]],IF($C$2="Low",tblFleet[[#This Row],[Low Case]],IF($C$2="High",tblFleet[[#This Row],[High Case]],"")))</f>
        <v>28</v>
      </c>
    </row>
    <row r="12" spans="1:6" x14ac:dyDescent="0.35">
      <c r="A12" s="7" t="s">
        <v>17</v>
      </c>
      <c r="B12" s="2"/>
      <c r="C12" s="2"/>
      <c r="D12" s="2"/>
      <c r="E12" s="2"/>
      <c r="F12" s="2"/>
    </row>
    <row r="13" spans="1:6" x14ac:dyDescent="0.35">
      <c r="A13" s="8" t="s">
        <v>3</v>
      </c>
      <c r="B13" s="8" t="s">
        <v>4</v>
      </c>
      <c r="C13" s="8" t="s">
        <v>5</v>
      </c>
      <c r="D13" s="8" t="s">
        <v>6</v>
      </c>
      <c r="E13" s="8" t="s">
        <v>7</v>
      </c>
      <c r="F13" s="8" t="s">
        <v>8</v>
      </c>
    </row>
    <row r="14" spans="1:6" x14ac:dyDescent="0.35">
      <c r="A14" t="s">
        <v>18</v>
      </c>
      <c r="B14" t="s">
        <v>19</v>
      </c>
      <c r="C14" s="12">
        <v>0.28999999999999998</v>
      </c>
      <c r="D14" s="12">
        <v>0.22</v>
      </c>
      <c r="E14" s="12">
        <v>0.38</v>
      </c>
      <c r="F14" s="16">
        <f>IF($C$2="Base",tblPricing[[#This Row],[Base Case]],IF($C$2="Low",tblPricing[[#This Row],[Low Case]],IF($C$2="High",tblPricing[[#This Row],[High Case]],"")))</f>
        <v>0.22</v>
      </c>
    </row>
    <row r="15" spans="1:6" x14ac:dyDescent="0.35">
      <c r="A15" t="s">
        <v>42</v>
      </c>
      <c r="B15" t="s">
        <v>20</v>
      </c>
      <c r="C15" s="12">
        <v>1</v>
      </c>
      <c r="D15" s="12">
        <v>0.5</v>
      </c>
      <c r="E15" s="12">
        <v>1.5</v>
      </c>
      <c r="F15" s="16">
        <f>IF($C$2="Base",tblPricing[[#This Row],[Base Case]],IF($C$2="Low",tblPricing[[#This Row],[Low Case]],IF($C$2="High",tblPricing[[#This Row],[High Case]],"")))</f>
        <v>0.5</v>
      </c>
    </row>
    <row r="16" spans="1:6" x14ac:dyDescent="0.35">
      <c r="A16" t="s">
        <v>43</v>
      </c>
      <c r="B16" t="s">
        <v>12</v>
      </c>
      <c r="C16" s="11">
        <v>0.05</v>
      </c>
      <c r="D16" s="11">
        <v>0.1</v>
      </c>
      <c r="E16" s="11">
        <v>0</v>
      </c>
      <c r="F16" s="15">
        <f>IF($C$2="Base",tblPricing[[#This Row],[Base Case]],IF($C$2="Low",tblPricing[[#This Row],[Low Case]],IF($C$2="High",tblPricing[[#This Row],[High Case]],"")))</f>
        <v>0.1</v>
      </c>
    </row>
    <row r="18" spans="1:6" x14ac:dyDescent="0.35">
      <c r="A18" s="7" t="s">
        <v>21</v>
      </c>
      <c r="B18" s="2"/>
      <c r="C18" s="2"/>
      <c r="D18" s="2"/>
      <c r="E18" s="2"/>
      <c r="F18" s="2"/>
    </row>
    <row r="19" spans="1:6" x14ac:dyDescent="0.35">
      <c r="A19" s="8" t="s">
        <v>3</v>
      </c>
      <c r="B19" s="8" t="s">
        <v>4</v>
      </c>
      <c r="C19" s="8" t="s">
        <v>5</v>
      </c>
      <c r="D19" s="8" t="s">
        <v>6</v>
      </c>
      <c r="E19" s="8" t="s">
        <v>7</v>
      </c>
      <c r="F19" s="8" t="s">
        <v>8</v>
      </c>
    </row>
    <row r="20" spans="1:6" x14ac:dyDescent="0.35">
      <c r="A20" t="s">
        <v>22</v>
      </c>
      <c r="B20" t="s">
        <v>20</v>
      </c>
      <c r="C20" s="12">
        <v>0.85</v>
      </c>
      <c r="D20" s="12">
        <v>1.1000000000000001</v>
      </c>
      <c r="E20" s="12">
        <v>0.65</v>
      </c>
      <c r="F20" s="16">
        <f>IF($C$2="Base",tblVariableCosts[[#This Row],[Base Case]],IF($C$2="Low",tblVariableCosts[[#This Row],[Low Case]],IF($C$2="High",tblVariableCosts[[#This Row],[High Case]],"")))</f>
        <v>1.1000000000000001</v>
      </c>
    </row>
    <row r="21" spans="1:6" x14ac:dyDescent="0.35">
      <c r="A21" t="s">
        <v>23</v>
      </c>
      <c r="B21" t="s">
        <v>20</v>
      </c>
      <c r="C21" s="12">
        <v>0.35</v>
      </c>
      <c r="D21" s="12">
        <v>0.5</v>
      </c>
      <c r="E21" s="12">
        <v>0.25</v>
      </c>
      <c r="F21" s="16">
        <f>IF($C$2="Base",tblVariableCosts[[#This Row],[Base Case]],IF($C$2="Low",tblVariableCosts[[#This Row],[Low Case]],IF($C$2="High",tblVariableCosts[[#This Row],[High Case]],"")))</f>
        <v>0.5</v>
      </c>
    </row>
    <row r="22" spans="1:6" x14ac:dyDescent="0.35">
      <c r="A22" t="s">
        <v>24</v>
      </c>
      <c r="B22" t="s">
        <v>25</v>
      </c>
      <c r="C22" s="13">
        <v>120</v>
      </c>
      <c r="D22" s="13">
        <v>160</v>
      </c>
      <c r="E22" s="13">
        <v>90</v>
      </c>
      <c r="F22" s="17">
        <f>IF($C$2="Base",tblVariableCosts[[#This Row],[Base Case]],IF($C$2="Low",tblVariableCosts[[#This Row],[Low Case]],IF($C$2="High",tblVariableCosts[[#This Row],[High Case]],"")))</f>
        <v>160</v>
      </c>
    </row>
    <row r="23" spans="1:6" x14ac:dyDescent="0.35">
      <c r="A23" t="s">
        <v>26</v>
      </c>
      <c r="B23" t="s">
        <v>25</v>
      </c>
      <c r="C23" s="13">
        <v>80</v>
      </c>
      <c r="D23" s="13">
        <v>110</v>
      </c>
      <c r="E23" s="13">
        <v>60</v>
      </c>
      <c r="F23" s="17">
        <f>IF($C$2="Base",tblVariableCosts[[#This Row],[Base Case]],IF($C$2="Low",tblVariableCosts[[#This Row],[Low Case]],IF($C$2="High",tblVariableCosts[[#This Row],[High Case]],"")))</f>
        <v>110</v>
      </c>
    </row>
    <row r="24" spans="1:6" x14ac:dyDescent="0.35">
      <c r="A24" t="s">
        <v>133</v>
      </c>
      <c r="B24" t="s">
        <v>134</v>
      </c>
      <c r="C24" s="41">
        <v>6</v>
      </c>
      <c r="D24" s="41">
        <v>4</v>
      </c>
      <c r="E24" s="41">
        <v>8</v>
      </c>
      <c r="F24" s="42">
        <f>IF($C$2="Base",tblVariableCosts[[#This Row],[Base Case]],IF($C$2="Low",tblVariableCosts[[#This Row],[Low Case]],IF($C$2="High",tblVariableCosts[[#This Row],[High Case]],"")))</f>
        <v>4</v>
      </c>
    </row>
    <row r="25" spans="1:6" x14ac:dyDescent="0.35">
      <c r="A25" t="s">
        <v>135</v>
      </c>
      <c r="B25" t="s">
        <v>136</v>
      </c>
      <c r="C25" s="12">
        <v>0.12</v>
      </c>
      <c r="D25" s="12">
        <v>0.09</v>
      </c>
      <c r="E25" s="12">
        <v>0.16</v>
      </c>
      <c r="F25" s="16">
        <f>IF($C$2="Base",tblVariableCosts[[#This Row],[Base Case]],IF($C$2="Low",tblVariableCosts[[#This Row],[Low Case]],IF($C$2="High",tblVariableCosts[[#This Row],[High Case]],"")))</f>
        <v>0.09</v>
      </c>
    </row>
    <row r="27" spans="1:6" x14ac:dyDescent="0.35">
      <c r="A27" s="7" t="s">
        <v>27</v>
      </c>
      <c r="B27" s="2"/>
      <c r="C27" s="2"/>
      <c r="D27" s="2"/>
      <c r="E27" s="2"/>
      <c r="F27" s="2"/>
    </row>
    <row r="28" spans="1:6" x14ac:dyDescent="0.35">
      <c r="A28" s="8" t="s">
        <v>3</v>
      </c>
      <c r="B28" s="8" t="s">
        <v>4</v>
      </c>
      <c r="C28" s="8" t="s">
        <v>5</v>
      </c>
      <c r="D28" s="8" t="s">
        <v>6</v>
      </c>
      <c r="E28" s="8" t="s">
        <v>7</v>
      </c>
      <c r="F28" s="8" t="s">
        <v>8</v>
      </c>
    </row>
    <row r="29" spans="1:6" x14ac:dyDescent="0.35">
      <c r="A29" t="s">
        <v>28</v>
      </c>
      <c r="B29" t="s">
        <v>25</v>
      </c>
      <c r="C29" s="13">
        <v>95</v>
      </c>
      <c r="D29" s="13">
        <v>115</v>
      </c>
      <c r="E29" s="13">
        <v>75</v>
      </c>
      <c r="F29" s="17">
        <f>IF($C$2="Base",tblFixedCosts[[#This Row],[Base Case]],IF($C$2="Low",tblFixedCosts[[#This Row],[Low Case]],IF($C$2="High",tblFixedCosts[[#This Row],[High Case]],"")))</f>
        <v>115</v>
      </c>
    </row>
    <row r="30" spans="1:6" x14ac:dyDescent="0.35">
      <c r="A30" t="s">
        <v>29</v>
      </c>
      <c r="B30" t="s">
        <v>25</v>
      </c>
      <c r="C30" s="13">
        <v>350</v>
      </c>
      <c r="D30" s="13">
        <v>400</v>
      </c>
      <c r="E30" s="13">
        <v>300</v>
      </c>
      <c r="F30" s="17">
        <f>IF($C$2="Base",tblFixedCosts[[#This Row],[Base Case]],IF($C$2="Low",tblFixedCosts[[#This Row],[Low Case]],IF($C$2="High",tblFixedCosts[[#This Row],[High Case]],"")))</f>
        <v>400</v>
      </c>
    </row>
    <row r="31" spans="1:6" x14ac:dyDescent="0.35">
      <c r="A31" t="s">
        <v>30</v>
      </c>
      <c r="B31" t="s">
        <v>31</v>
      </c>
      <c r="C31" s="13">
        <v>25000</v>
      </c>
      <c r="D31" s="13">
        <v>30000</v>
      </c>
      <c r="E31" s="13">
        <v>20000</v>
      </c>
      <c r="F31" s="17">
        <f>IF($C$2="Base",tblFixedCosts[[#This Row],[Base Case]],IF($C$2="Low",tblFixedCosts[[#This Row],[Low Case]],IF($C$2="High",tblFixedCosts[[#This Row],[High Case]],"")))</f>
        <v>30000</v>
      </c>
    </row>
    <row r="33" spans="1:6" x14ac:dyDescent="0.35">
      <c r="A33" s="7" t="s">
        <v>32</v>
      </c>
      <c r="B33" s="2"/>
      <c r="C33" s="2"/>
      <c r="D33" s="2"/>
      <c r="E33" s="2"/>
      <c r="F33" s="2"/>
    </row>
    <row r="34" spans="1:6" x14ac:dyDescent="0.35">
      <c r="A34" s="8" t="s">
        <v>3</v>
      </c>
      <c r="B34" s="8" t="s">
        <v>4</v>
      </c>
      <c r="C34" s="8" t="s">
        <v>5</v>
      </c>
      <c r="D34" s="8" t="s">
        <v>6</v>
      </c>
      <c r="E34" s="8" t="s">
        <v>7</v>
      </c>
      <c r="F34" s="8" t="s">
        <v>8</v>
      </c>
    </row>
    <row r="35" spans="1:6" x14ac:dyDescent="0.35">
      <c r="A35" t="s">
        <v>33</v>
      </c>
      <c r="B35" t="s">
        <v>12</v>
      </c>
      <c r="C35" s="11">
        <v>0.03</v>
      </c>
      <c r="D35" s="11">
        <v>0.01</v>
      </c>
      <c r="E35" s="11">
        <v>0.05</v>
      </c>
      <c r="F35" s="15">
        <f>IF($C$2="Base",tblGrowth[[#This Row],[Base Case]],IF($C$2="Low",tblGrowth[[#This Row],[Low Case]],IF($C$2="High",tblGrowth[[#This Row],[High Case]],"")))</f>
        <v>0.01</v>
      </c>
    </row>
    <row r="36" spans="1:6" x14ac:dyDescent="0.35">
      <c r="A36" t="s">
        <v>34</v>
      </c>
      <c r="B36" t="s">
        <v>12</v>
      </c>
      <c r="C36" s="11">
        <v>0.01</v>
      </c>
      <c r="D36" s="11">
        <v>0</v>
      </c>
      <c r="E36" s="11">
        <v>0.02</v>
      </c>
      <c r="F36" s="15">
        <f>IF($C$2="Base",tblGrowth[[#This Row],[Base Case]],IF($C$2="Low",tblGrowth[[#This Row],[Low Case]],IF($C$2="High",tblGrowth[[#This Row],[High Case]],"")))</f>
        <v>0</v>
      </c>
    </row>
    <row r="37" spans="1:6" x14ac:dyDescent="0.35">
      <c r="A37" t="s">
        <v>35</v>
      </c>
      <c r="B37" t="s">
        <v>12</v>
      </c>
      <c r="C37" s="11">
        <v>1.4999999999999999E-2</v>
      </c>
      <c r="D37" s="11">
        <v>2.5000000000000001E-2</v>
      </c>
      <c r="E37" s="11">
        <v>8.0000000000000002E-3</v>
      </c>
      <c r="F37" s="15">
        <f>IF($C$2="Base",tblGrowth[[#This Row],[Base Case]],IF($C$2="Low",tblGrowth[[#This Row],[Low Case]],IF($C$2="High",tblGrowth[[#This Row],[High Case]],"")))</f>
        <v>2.5000000000000001E-2</v>
      </c>
    </row>
    <row r="39" spans="1:6" x14ac:dyDescent="0.35">
      <c r="A39" s="4" t="s">
        <v>36</v>
      </c>
      <c r="B39" s="18" t="s">
        <v>37</v>
      </c>
      <c r="C39" s="19" t="s">
        <v>38</v>
      </c>
      <c r="D39" s="20" t="s">
        <v>39</v>
      </c>
    </row>
  </sheetData>
  <dataValidations count="1">
    <dataValidation type="list" allowBlank="1" showInputMessage="1" showErrorMessage="1" promptTitle="Scenario Selector" prompt="Select scenario: Base, Low, or High" sqref="C2" xr:uid="{0C449398-1004-4519-A99A-D07D3C5AFCA6}">
      <formula1>"Base,Low,High"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4BC1-3FA7-4095-A58C-0C85B3FEA9B2}">
  <dimension ref="A1:D26"/>
  <sheetViews>
    <sheetView zoomScale="81" workbookViewId="0">
      <pane ySplit="4" topLeftCell="A5" activePane="bottomLeft" state="frozen"/>
      <selection pane="bottomLeft" activeCell="B5" sqref="B5"/>
    </sheetView>
  </sheetViews>
  <sheetFormatPr defaultRowHeight="14.5" x14ac:dyDescent="0.35"/>
  <cols>
    <col min="1" max="1" width="33.6328125" bestFit="1" customWidth="1"/>
    <col min="2" max="2" width="40.7265625" bestFit="1" customWidth="1"/>
    <col min="3" max="3" width="47.1796875" bestFit="1" customWidth="1"/>
    <col min="4" max="4" width="10.1796875" bestFit="1" customWidth="1"/>
  </cols>
  <sheetData>
    <row r="1" spans="1:4" ht="18.5" x14ac:dyDescent="0.45">
      <c r="A1" s="103" t="s">
        <v>44</v>
      </c>
      <c r="B1" s="80"/>
      <c r="C1" s="80"/>
      <c r="D1" s="80"/>
    </row>
    <row r="3" spans="1:4" x14ac:dyDescent="0.35">
      <c r="A3" s="96" t="s">
        <v>45</v>
      </c>
      <c r="B3" s="97"/>
      <c r="C3" s="97"/>
      <c r="D3" s="97"/>
    </row>
    <row r="4" spans="1:4" x14ac:dyDescent="0.35">
      <c r="A4" s="8" t="s">
        <v>3</v>
      </c>
      <c r="B4" s="8" t="s">
        <v>46</v>
      </c>
    </row>
    <row r="5" spans="1:4" x14ac:dyDescent="0.35">
      <c r="A5" t="s">
        <v>9</v>
      </c>
      <c r="B5" s="22">
        <f>_xlfn.XLOOKUP("Total Fleet Size",tblFleet[Driver Name],tblFleet[Active Scenario Value])</f>
        <v>350</v>
      </c>
    </row>
    <row r="6" spans="1:4" x14ac:dyDescent="0.35">
      <c r="A6" t="s">
        <v>11</v>
      </c>
      <c r="B6" s="23">
        <f>_xlfn.XLOOKUP("Utilization Rate",tblFleet[Driver Name],tblFleet[Active Scenario Value])</f>
        <v>0.5</v>
      </c>
    </row>
    <row r="7" spans="1:4" x14ac:dyDescent="0.35">
      <c r="A7" t="s">
        <v>13</v>
      </c>
      <c r="B7" s="22">
        <f>_xlfn.XLOOKUP("Operating Hours per Day",tblFleet[Driver Name],tblFleet[Active Scenario Value])</f>
        <v>14</v>
      </c>
    </row>
    <row r="8" spans="1:4" x14ac:dyDescent="0.35">
      <c r="A8" t="s">
        <v>40</v>
      </c>
      <c r="B8" s="22">
        <f>_xlfn.XLOOKUP("Operating Days per Month",tblFleet[Driver Name],tblFleet[Active Scenario Value])</f>
        <v>28</v>
      </c>
    </row>
    <row r="9" spans="1:4" x14ac:dyDescent="0.35">
      <c r="A9" t="s">
        <v>15</v>
      </c>
      <c r="B9" s="22">
        <f>_xlfn.XLOOKUP("Average Ride Duration",tblFleet[Driver Name],tblFleet[Active Scenario Value])</f>
        <v>15</v>
      </c>
    </row>
    <row r="11" spans="1:4" x14ac:dyDescent="0.35">
      <c r="A11" s="104" t="s">
        <v>47</v>
      </c>
      <c r="B11" s="80"/>
      <c r="C11" s="80"/>
      <c r="D11" s="80"/>
    </row>
    <row r="12" spans="1:4" x14ac:dyDescent="0.35">
      <c r="A12" s="8" t="s">
        <v>48</v>
      </c>
      <c r="B12" s="8" t="s">
        <v>4</v>
      </c>
      <c r="C12" s="8" t="s">
        <v>49</v>
      </c>
      <c r="D12" s="8" t="s">
        <v>50</v>
      </c>
    </row>
    <row r="13" spans="1:4" x14ac:dyDescent="0.35">
      <c r="A13" t="s">
        <v>51</v>
      </c>
      <c r="B13" t="s">
        <v>16</v>
      </c>
      <c r="C13" t="s">
        <v>52</v>
      </c>
      <c r="D13" s="26">
        <f>Hours_Per_Day*60*Days_Per_Month</f>
        <v>23520</v>
      </c>
    </row>
    <row r="14" spans="1:4" x14ac:dyDescent="0.35">
      <c r="A14" t="s">
        <v>75</v>
      </c>
      <c r="B14" t="s">
        <v>16</v>
      </c>
      <c r="C14" t="s">
        <v>76</v>
      </c>
      <c r="D14" s="27">
        <f>D13*Fleet_Size</f>
        <v>8232000</v>
      </c>
    </row>
    <row r="15" spans="1:4" x14ac:dyDescent="0.35">
      <c r="A15" t="s">
        <v>53</v>
      </c>
      <c r="B15" t="s">
        <v>16</v>
      </c>
      <c r="C15" t="s">
        <v>54</v>
      </c>
      <c r="D15" s="26">
        <f>D13*Utilization_Rate</f>
        <v>11760</v>
      </c>
    </row>
    <row r="16" spans="1:4" x14ac:dyDescent="0.35">
      <c r="A16" t="s">
        <v>55</v>
      </c>
      <c r="B16" t="s">
        <v>16</v>
      </c>
      <c r="C16" t="s">
        <v>56</v>
      </c>
      <c r="D16" s="27">
        <f>D15*Fleet_Size</f>
        <v>4116000</v>
      </c>
    </row>
    <row r="17" spans="1:4" x14ac:dyDescent="0.35">
      <c r="A17" t="s">
        <v>57</v>
      </c>
      <c r="B17" t="s">
        <v>58</v>
      </c>
      <c r="C17" t="s">
        <v>59</v>
      </c>
      <c r="D17" s="27">
        <f>D16/Avg_Ride_Duration</f>
        <v>274400</v>
      </c>
    </row>
    <row r="18" spans="1:4" x14ac:dyDescent="0.35">
      <c r="A18" t="s">
        <v>60</v>
      </c>
      <c r="B18" t="s">
        <v>58</v>
      </c>
      <c r="C18" t="s">
        <v>61</v>
      </c>
      <c r="D18" s="26">
        <f>D17/Fleet_Size</f>
        <v>784</v>
      </c>
    </row>
    <row r="19" spans="1:4" x14ac:dyDescent="0.35">
      <c r="A19" s="32" t="s">
        <v>77</v>
      </c>
      <c r="B19" s="30"/>
      <c r="C19" s="30"/>
      <c r="D19" s="31"/>
    </row>
    <row r="20" spans="1:4" x14ac:dyDescent="0.35">
      <c r="A20" s="28" t="s">
        <v>62</v>
      </c>
      <c r="B20" t="s">
        <v>63</v>
      </c>
      <c r="C20" t="s">
        <v>64</v>
      </c>
      <c r="D20" s="26">
        <f>Utilization_Rate*Hours_Per_Day</f>
        <v>7</v>
      </c>
    </row>
    <row r="21" spans="1:4" x14ac:dyDescent="0.35">
      <c r="A21" t="s">
        <v>65</v>
      </c>
      <c r="B21" t="s">
        <v>16</v>
      </c>
      <c r="C21" t="s">
        <v>66</v>
      </c>
      <c r="D21" s="26">
        <f>D15/Days_Per_Month</f>
        <v>420</v>
      </c>
    </row>
    <row r="22" spans="1:4" x14ac:dyDescent="0.35">
      <c r="A22" t="s">
        <v>67</v>
      </c>
      <c r="B22" t="s">
        <v>58</v>
      </c>
      <c r="C22" t="s">
        <v>68</v>
      </c>
      <c r="D22" s="26">
        <f>D18/Days_Per_Month</f>
        <v>28</v>
      </c>
    </row>
    <row r="23" spans="1:4" x14ac:dyDescent="0.35">
      <c r="A23" t="s">
        <v>69</v>
      </c>
      <c r="B23" t="s">
        <v>16</v>
      </c>
      <c r="C23" t="s">
        <v>70</v>
      </c>
      <c r="D23" s="26">
        <f>D16/D17</f>
        <v>15</v>
      </c>
    </row>
    <row r="24" spans="1:4" x14ac:dyDescent="0.35">
      <c r="A24" t="s">
        <v>71</v>
      </c>
      <c r="B24" t="s">
        <v>12</v>
      </c>
      <c r="C24" t="s">
        <v>72</v>
      </c>
      <c r="D24" s="15">
        <f>D15/D13</f>
        <v>0.5</v>
      </c>
    </row>
    <row r="26" spans="1:4" x14ac:dyDescent="0.35">
      <c r="A26" s="21" t="s">
        <v>36</v>
      </c>
      <c r="B26" s="29" t="s">
        <v>73</v>
      </c>
      <c r="C26" s="19" t="s">
        <v>74</v>
      </c>
    </row>
  </sheetData>
  <mergeCells count="3">
    <mergeCell ref="A1:D1"/>
    <mergeCell ref="A3:D3"/>
    <mergeCell ref="A11:D1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2893-A7E6-4651-948E-9EDE04F190CE}">
  <dimension ref="A1:D29"/>
  <sheetViews>
    <sheetView zoomScale="74" workbookViewId="0">
      <pane ySplit="4" topLeftCell="A5" activePane="bottomLeft" state="frozen"/>
      <selection pane="bottomLeft" activeCell="B7" sqref="B7"/>
    </sheetView>
  </sheetViews>
  <sheetFormatPr defaultRowHeight="14.5" x14ac:dyDescent="0.35"/>
  <cols>
    <col min="1" max="1" width="27.26953125" bestFit="1" customWidth="1"/>
    <col min="2" max="2" width="16.81640625" customWidth="1"/>
    <col min="3" max="3" width="32.7265625" bestFit="1" customWidth="1"/>
    <col min="4" max="4" width="10.7265625" bestFit="1" customWidth="1"/>
  </cols>
  <sheetData>
    <row r="1" spans="1:4" ht="18.5" x14ac:dyDescent="0.45">
      <c r="A1" s="103" t="s">
        <v>78</v>
      </c>
      <c r="B1" s="80"/>
      <c r="C1" s="80"/>
      <c r="D1" s="80"/>
    </row>
    <row r="3" spans="1:4" x14ac:dyDescent="0.35">
      <c r="A3" s="96" t="s">
        <v>79</v>
      </c>
      <c r="B3" s="97"/>
      <c r="C3" s="97"/>
      <c r="D3" s="97"/>
    </row>
    <row r="4" spans="1:4" x14ac:dyDescent="0.35">
      <c r="A4" s="8" t="s">
        <v>3</v>
      </c>
      <c r="B4" s="8" t="s">
        <v>46</v>
      </c>
    </row>
    <row r="5" spans="1:4" x14ac:dyDescent="0.35">
      <c r="A5" t="s">
        <v>18</v>
      </c>
      <c r="B5" s="33">
        <f>_xlfn.XLOOKUP("Price per Minute",tblPricing[Driver Name],tblPricing[Active Scenario Value])</f>
        <v>0.22</v>
      </c>
    </row>
    <row r="6" spans="1:4" x14ac:dyDescent="0.35">
      <c r="A6" t="s">
        <v>42</v>
      </c>
      <c r="B6" s="33">
        <f>_xlfn.XLOOKUP("Unlock Fee per Ride",tblPricing[Driver Name],tblPricing[Active Scenario Value])</f>
        <v>0.5</v>
      </c>
    </row>
    <row r="7" spans="1:4" x14ac:dyDescent="0.35">
      <c r="A7" t="s">
        <v>43</v>
      </c>
      <c r="B7" s="23">
        <f>_xlfn.XLOOKUP("Average Discount Rate",tblPricing[Driver Name],tblPricing[Active Scenario Value])</f>
        <v>0.1</v>
      </c>
    </row>
    <row r="9" spans="1:4" x14ac:dyDescent="0.35">
      <c r="A9" s="96" t="s">
        <v>80</v>
      </c>
      <c r="B9" s="97"/>
      <c r="C9" s="97"/>
      <c r="D9" s="97"/>
    </row>
    <row r="10" spans="1:4" x14ac:dyDescent="0.35">
      <c r="A10" s="8" t="s">
        <v>48</v>
      </c>
      <c r="B10" s="8" t="s">
        <v>46</v>
      </c>
    </row>
    <row r="11" spans="1:4" x14ac:dyDescent="0.35">
      <c r="A11" t="s">
        <v>55</v>
      </c>
      <c r="B11" s="34">
        <f>_xlfn.XLOOKUP("Total Used Minutes (Fleet)",tblVolumeEngine[Metric],tblVolumeEngine[Value])</f>
        <v>4116000</v>
      </c>
    </row>
    <row r="12" spans="1:4" x14ac:dyDescent="0.35">
      <c r="A12" t="s">
        <v>57</v>
      </c>
      <c r="B12" s="34">
        <f>_xlfn.XLOOKUP("Total Rides (Fleet)",tblVolumeEngine[Metric],tblVolumeEngine[Value])</f>
        <v>274400</v>
      </c>
    </row>
    <row r="14" spans="1:4" x14ac:dyDescent="0.35">
      <c r="A14" s="104" t="s">
        <v>81</v>
      </c>
      <c r="B14" s="80"/>
      <c r="C14" s="80"/>
      <c r="D14" s="80"/>
    </row>
    <row r="15" spans="1:4" x14ac:dyDescent="0.35">
      <c r="A15" s="8" t="s">
        <v>48</v>
      </c>
      <c r="B15" s="8" t="s">
        <v>4</v>
      </c>
      <c r="C15" s="8" t="s">
        <v>49</v>
      </c>
      <c r="D15" s="8" t="s">
        <v>50</v>
      </c>
    </row>
    <row r="16" spans="1:4" x14ac:dyDescent="0.35">
      <c r="A16" t="s">
        <v>82</v>
      </c>
      <c r="B16" t="s">
        <v>16</v>
      </c>
      <c r="C16" t="s">
        <v>83</v>
      </c>
      <c r="D16" s="27">
        <f>Fleet_Minutes</f>
        <v>4116000</v>
      </c>
    </row>
    <row r="17" spans="1:4" x14ac:dyDescent="0.35">
      <c r="A17" t="s">
        <v>84</v>
      </c>
      <c r="B17" t="s">
        <v>58</v>
      </c>
      <c r="C17" t="s">
        <v>83</v>
      </c>
      <c r="D17" s="27">
        <f>Fleet_Rides</f>
        <v>274400</v>
      </c>
    </row>
    <row r="18" spans="1:4" x14ac:dyDescent="0.35">
      <c r="A18" t="s">
        <v>85</v>
      </c>
      <c r="B18" t="s">
        <v>86</v>
      </c>
      <c r="C18" t="s">
        <v>87</v>
      </c>
      <c r="D18" s="17">
        <f>D16*Price_Per_Minute</f>
        <v>905520</v>
      </c>
    </row>
    <row r="19" spans="1:4" x14ac:dyDescent="0.35">
      <c r="A19" t="s">
        <v>88</v>
      </c>
      <c r="B19" t="s">
        <v>86</v>
      </c>
      <c r="C19" t="s">
        <v>89</v>
      </c>
      <c r="D19" s="17">
        <f>D17*Unlock_Fee_Per_Ride</f>
        <v>137200</v>
      </c>
    </row>
    <row r="20" spans="1:4" x14ac:dyDescent="0.35">
      <c r="A20" t="s">
        <v>90</v>
      </c>
      <c r="B20" t="s">
        <v>86</v>
      </c>
      <c r="C20" t="s">
        <v>91</v>
      </c>
      <c r="D20" s="17">
        <f>D18+D19</f>
        <v>1042720</v>
      </c>
    </row>
    <row r="21" spans="1:4" x14ac:dyDescent="0.35">
      <c r="A21" t="s">
        <v>99</v>
      </c>
      <c r="B21" t="s">
        <v>86</v>
      </c>
      <c r="C21" t="s">
        <v>100</v>
      </c>
      <c r="D21" s="16">
        <f>D20/Fleet_Rides</f>
        <v>3.8</v>
      </c>
    </row>
    <row r="22" spans="1:4" x14ac:dyDescent="0.35">
      <c r="A22" t="s">
        <v>97</v>
      </c>
      <c r="B22" t="s">
        <v>12</v>
      </c>
      <c r="C22" t="s">
        <v>98</v>
      </c>
      <c r="D22" s="23">
        <f>Discount_Rate</f>
        <v>0.1</v>
      </c>
    </row>
    <row r="23" spans="1:4" x14ac:dyDescent="0.35">
      <c r="A23" t="s">
        <v>92</v>
      </c>
      <c r="B23" t="s">
        <v>86</v>
      </c>
      <c r="C23" t="s">
        <v>93</v>
      </c>
      <c r="D23" s="17">
        <f>D20*Discount_Rate</f>
        <v>104272</v>
      </c>
    </row>
    <row r="24" spans="1:4" x14ac:dyDescent="0.35">
      <c r="A24" s="37" t="s">
        <v>94</v>
      </c>
      <c r="B24" s="37" t="s">
        <v>86</v>
      </c>
      <c r="C24" s="37" t="s">
        <v>95</v>
      </c>
      <c r="D24" s="38">
        <f>D20-D23</f>
        <v>938448</v>
      </c>
    </row>
    <row r="25" spans="1:4" x14ac:dyDescent="0.35">
      <c r="A25" s="21" t="s">
        <v>101</v>
      </c>
      <c r="B25" s="21" t="s">
        <v>86</v>
      </c>
      <c r="C25" s="21" t="s">
        <v>102</v>
      </c>
      <c r="D25" s="16">
        <f>D24/Fleet_Rides</f>
        <v>3.42</v>
      </c>
    </row>
    <row r="26" spans="1:4" x14ac:dyDescent="0.35">
      <c r="A26" s="21" t="s">
        <v>103</v>
      </c>
      <c r="B26" s="21" t="s">
        <v>86</v>
      </c>
      <c r="C26" s="21" t="s">
        <v>104</v>
      </c>
      <c r="D26" s="36">
        <f>D24/Fleet_Minutes</f>
        <v>0.22800000000000001</v>
      </c>
    </row>
    <row r="27" spans="1:4" x14ac:dyDescent="0.35">
      <c r="A27" s="21" t="s">
        <v>105</v>
      </c>
      <c r="B27" s="21" t="s">
        <v>86</v>
      </c>
      <c r="C27" s="21" t="s">
        <v>106</v>
      </c>
      <c r="D27" s="17">
        <f>D24/Fleet_Size</f>
        <v>2681.28</v>
      </c>
    </row>
    <row r="29" spans="1:4" ht="43.5" x14ac:dyDescent="0.35">
      <c r="A29" s="21" t="s">
        <v>36</v>
      </c>
      <c r="B29" s="39" t="s">
        <v>96</v>
      </c>
      <c r="C29" s="19" t="s">
        <v>74</v>
      </c>
    </row>
  </sheetData>
  <mergeCells count="4">
    <mergeCell ref="A1:D1"/>
    <mergeCell ref="A3:D3"/>
    <mergeCell ref="A9:D9"/>
    <mergeCell ref="A14:D1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CC9B-765E-4FB9-AD37-4C1478583D39}">
  <dimension ref="A1:D34"/>
  <sheetViews>
    <sheetView zoomScale="57" workbookViewId="0">
      <pane ySplit="4" topLeftCell="A5" activePane="bottomLeft" state="frozen"/>
      <selection pane="bottomLeft" activeCell="E37" sqref="E37"/>
    </sheetView>
  </sheetViews>
  <sheetFormatPr defaultRowHeight="14.5" x14ac:dyDescent="0.35"/>
  <cols>
    <col min="1" max="1" width="33.08984375" bestFit="1" customWidth="1"/>
    <col min="2" max="2" width="11.54296875" bestFit="1" customWidth="1"/>
    <col min="3" max="3" width="35.81640625" bestFit="1" customWidth="1"/>
    <col min="4" max="4" width="10.90625" customWidth="1"/>
  </cols>
  <sheetData>
    <row r="1" spans="1:4" ht="18.5" x14ac:dyDescent="0.45">
      <c r="A1" s="103" t="s">
        <v>107</v>
      </c>
      <c r="B1" s="80"/>
      <c r="C1" s="80"/>
      <c r="D1" s="80"/>
    </row>
    <row r="3" spans="1:4" x14ac:dyDescent="0.35">
      <c r="A3" s="96" t="s">
        <v>108</v>
      </c>
      <c r="B3" s="97"/>
      <c r="C3" s="97"/>
      <c r="D3" s="97"/>
    </row>
    <row r="4" spans="1:4" x14ac:dyDescent="0.35">
      <c r="A4" s="8" t="s">
        <v>3</v>
      </c>
      <c r="B4" s="8" t="s">
        <v>46</v>
      </c>
    </row>
    <row r="5" spans="1:4" x14ac:dyDescent="0.35">
      <c r="A5" t="s">
        <v>22</v>
      </c>
      <c r="B5" s="33">
        <f>_xlfn.XLOOKUP("Maintenance Cost per Ride",tblVariableCosts[Driver Name],tblVariableCosts[Active Scenario Value])</f>
        <v>1.1000000000000001</v>
      </c>
    </row>
    <row r="6" spans="1:4" x14ac:dyDescent="0.35">
      <c r="A6" t="s">
        <v>23</v>
      </c>
      <c r="B6" s="33">
        <f>_xlfn.XLOOKUP("Cleaning Cost per Ride",tblVariableCosts[Driver Name],tblVariableCosts[Active Scenario Value])</f>
        <v>0.5</v>
      </c>
    </row>
    <row r="7" spans="1:4" x14ac:dyDescent="0.35">
      <c r="A7" t="s">
        <v>24</v>
      </c>
      <c r="B7" s="40">
        <f>_xlfn.XLOOKUP("Parking Cost per Vehicle per Month",tblVariableCosts[Driver Name],tblVariableCosts[Active Scenario Value])</f>
        <v>160</v>
      </c>
    </row>
    <row r="8" spans="1:4" x14ac:dyDescent="0.35">
      <c r="A8" t="s">
        <v>26</v>
      </c>
      <c r="B8" s="40">
        <f>_xlfn.XLOOKUP("Logistics Cost per Vehicle per Month",tblVariableCosts[Driver Name],tblVariableCosts[Active Scenario Value])</f>
        <v>110</v>
      </c>
    </row>
    <row r="9" spans="1:4" x14ac:dyDescent="0.35">
      <c r="A9" s="14" t="s">
        <v>133</v>
      </c>
      <c r="B9" s="40">
        <f>_xlfn.XLOOKUP("Average Distance per Ride",tblVariableCosts[Driver Name],tblVariableCosts[Active Scenario Value])</f>
        <v>4</v>
      </c>
    </row>
    <row r="10" spans="1:4" x14ac:dyDescent="0.35">
      <c r="A10" s="14" t="s">
        <v>135</v>
      </c>
      <c r="B10" s="33">
        <f>_xlfn.XLOOKUP("Energy Cost per km",tblVariableCosts[Driver Name],tblVariableCosts[Active Scenario Value])</f>
        <v>0.09</v>
      </c>
      <c r="C10" s="14"/>
      <c r="D10" s="14"/>
    </row>
    <row r="12" spans="1:4" x14ac:dyDescent="0.35">
      <c r="A12" s="96" t="s">
        <v>80</v>
      </c>
      <c r="B12" s="96"/>
      <c r="C12" s="96"/>
      <c r="D12" s="96"/>
    </row>
    <row r="13" spans="1:4" x14ac:dyDescent="0.35">
      <c r="A13" s="8" t="s">
        <v>48</v>
      </c>
      <c r="B13" s="8" t="s">
        <v>46</v>
      </c>
    </row>
    <row r="14" spans="1:4" x14ac:dyDescent="0.35">
      <c r="A14" s="14" t="s">
        <v>57</v>
      </c>
      <c r="B14" s="34">
        <f>_xlfn.XLOOKUP("Total Rides (Fleet)",tblVolumeEngine[Metric],tblVolumeEngine[Value])</f>
        <v>274400</v>
      </c>
    </row>
    <row r="15" spans="1:4" x14ac:dyDescent="0.35">
      <c r="A15" t="s">
        <v>9</v>
      </c>
      <c r="B15" s="34">
        <f>Fleet_Size</f>
        <v>350</v>
      </c>
    </row>
    <row r="17" spans="1:4" x14ac:dyDescent="0.35">
      <c r="A17" s="104" t="s">
        <v>109</v>
      </c>
      <c r="B17" s="80"/>
      <c r="C17" s="80"/>
      <c r="D17" s="80"/>
    </row>
    <row r="18" spans="1:4" x14ac:dyDescent="0.35">
      <c r="A18" s="8" t="s">
        <v>48</v>
      </c>
      <c r="B18" s="8" t="s">
        <v>4</v>
      </c>
      <c r="C18" s="8" t="s">
        <v>49</v>
      </c>
      <c r="D18" s="8" t="s">
        <v>50</v>
      </c>
    </row>
    <row r="19" spans="1:4" x14ac:dyDescent="0.35">
      <c r="A19" s="32" t="s">
        <v>110</v>
      </c>
      <c r="B19" s="32"/>
      <c r="C19" s="32"/>
      <c r="D19" s="32"/>
    </row>
    <row r="20" spans="1:4" x14ac:dyDescent="0.35">
      <c r="A20" t="s">
        <v>111</v>
      </c>
      <c r="B20" t="s">
        <v>86</v>
      </c>
      <c r="C20" t="s">
        <v>112</v>
      </c>
      <c r="D20" s="17">
        <f>Fleet_Rides*Maintenance_Per_Ride</f>
        <v>301840</v>
      </c>
    </row>
    <row r="21" spans="1:4" x14ac:dyDescent="0.35">
      <c r="A21" t="s">
        <v>113</v>
      </c>
      <c r="B21" t="s">
        <v>86</v>
      </c>
      <c r="C21" t="s">
        <v>114</v>
      </c>
      <c r="D21" s="17">
        <f>Fleet_Rides*Cleaning_Per_Ride</f>
        <v>137200</v>
      </c>
    </row>
    <row r="22" spans="1:4" x14ac:dyDescent="0.35">
      <c r="A22" t="s">
        <v>137</v>
      </c>
      <c r="B22" t="s">
        <v>86</v>
      </c>
      <c r="C22" t="s">
        <v>138</v>
      </c>
      <c r="D22" s="17">
        <f>Fleet_Rides*Avg_Distance_Per_Ride*Energy_Cost_Per_Km</f>
        <v>98784</v>
      </c>
    </row>
    <row r="23" spans="1:4" x14ac:dyDescent="0.35">
      <c r="A23" s="21" t="s">
        <v>115</v>
      </c>
      <c r="B23" s="21" t="s">
        <v>86</v>
      </c>
      <c r="C23" s="21" t="s">
        <v>139</v>
      </c>
      <c r="D23" s="35">
        <f>D20+D21+D22</f>
        <v>537824</v>
      </c>
    </row>
    <row r="24" spans="1:4" x14ac:dyDescent="0.35">
      <c r="A24" s="32" t="s">
        <v>116</v>
      </c>
      <c r="B24" s="32"/>
      <c r="C24" s="32"/>
      <c r="D24" s="32"/>
    </row>
    <row r="25" spans="1:4" x14ac:dyDescent="0.35">
      <c r="A25" t="s">
        <v>117</v>
      </c>
      <c r="B25" t="s">
        <v>86</v>
      </c>
      <c r="C25" t="s">
        <v>118</v>
      </c>
      <c r="D25" s="17">
        <f>Fleet_Size*Parking_Per_Vehicle</f>
        <v>56000</v>
      </c>
    </row>
    <row r="26" spans="1:4" x14ac:dyDescent="0.35">
      <c r="A26" t="s">
        <v>119</v>
      </c>
      <c r="B26" t="s">
        <v>86</v>
      </c>
      <c r="C26" t="s">
        <v>120</v>
      </c>
      <c r="D26" s="17">
        <f>Fleet_Size*Logistics_Per_Vehicle</f>
        <v>38500</v>
      </c>
    </row>
    <row r="27" spans="1:4" x14ac:dyDescent="0.35">
      <c r="A27" s="21" t="s">
        <v>121</v>
      </c>
      <c r="B27" s="21" t="s">
        <v>86</v>
      </c>
      <c r="C27" s="21" t="s">
        <v>122</v>
      </c>
      <c r="D27" s="35">
        <f>D25+D26</f>
        <v>94500</v>
      </c>
    </row>
    <row r="28" spans="1:4" x14ac:dyDescent="0.35">
      <c r="A28" s="37" t="s">
        <v>123</v>
      </c>
      <c r="B28" s="37" t="s">
        <v>86</v>
      </c>
      <c r="C28" s="37" t="s">
        <v>124</v>
      </c>
      <c r="D28" s="38">
        <f>D23+D27</f>
        <v>632324</v>
      </c>
    </row>
    <row r="29" spans="1:4" x14ac:dyDescent="0.35">
      <c r="A29" s="32" t="s">
        <v>125</v>
      </c>
      <c r="B29" s="32"/>
      <c r="C29" s="32"/>
      <c r="D29" s="32"/>
    </row>
    <row r="30" spans="1:4" x14ac:dyDescent="0.35">
      <c r="A30" t="s">
        <v>126</v>
      </c>
      <c r="B30" t="s">
        <v>86</v>
      </c>
      <c r="C30" t="s">
        <v>127</v>
      </c>
      <c r="D30" s="16">
        <f>D28/Fleet_Rides</f>
        <v>2.3043877551020406</v>
      </c>
    </row>
    <row r="31" spans="1:4" x14ac:dyDescent="0.35">
      <c r="A31" t="s">
        <v>128</v>
      </c>
      <c r="B31" t="s">
        <v>86</v>
      </c>
      <c r="C31" t="s">
        <v>129</v>
      </c>
      <c r="D31" s="17">
        <f>D28/Fleet_Size</f>
        <v>1806.64</v>
      </c>
    </row>
    <row r="32" spans="1:4" x14ac:dyDescent="0.35">
      <c r="A32" t="s">
        <v>130</v>
      </c>
      <c r="B32" t="s">
        <v>86</v>
      </c>
      <c r="C32" t="s">
        <v>131</v>
      </c>
      <c r="D32" s="16">
        <f>D23/Fleet_Rides</f>
        <v>1.96</v>
      </c>
    </row>
    <row r="34" spans="1:3" x14ac:dyDescent="0.35">
      <c r="A34" s="21" t="s">
        <v>36</v>
      </c>
      <c r="B34" s="29" t="s">
        <v>96</v>
      </c>
      <c r="C34" s="21" t="s">
        <v>132</v>
      </c>
    </row>
  </sheetData>
  <mergeCells count="4">
    <mergeCell ref="A1:D1"/>
    <mergeCell ref="A3:D3"/>
    <mergeCell ref="A17:D17"/>
    <mergeCell ref="A12:D1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D41A-6A2D-4C97-B857-6901522BC064}">
  <dimension ref="A1:D27"/>
  <sheetViews>
    <sheetView zoomScale="71" workbookViewId="0">
      <pane ySplit="4" topLeftCell="A5" activePane="bottomLeft" state="frozen"/>
      <selection pane="bottomLeft" activeCell="D18" sqref="D18"/>
    </sheetView>
  </sheetViews>
  <sheetFormatPr defaultRowHeight="14.5" x14ac:dyDescent="0.35"/>
  <cols>
    <col min="1" max="1" width="33.36328125" bestFit="1" customWidth="1"/>
    <col min="3" max="3" width="38.7265625" bestFit="1" customWidth="1"/>
    <col min="4" max="4" width="8.81640625" bestFit="1" customWidth="1"/>
  </cols>
  <sheetData>
    <row r="1" spans="1:4" ht="18.5" x14ac:dyDescent="0.45">
      <c r="A1" s="103" t="s">
        <v>140</v>
      </c>
      <c r="B1" s="80"/>
      <c r="C1" s="80"/>
      <c r="D1" s="80"/>
    </row>
    <row r="3" spans="1:4" x14ac:dyDescent="0.35">
      <c r="A3" s="96" t="s">
        <v>141</v>
      </c>
      <c r="B3" s="97"/>
      <c r="C3" s="97"/>
      <c r="D3" s="97"/>
    </row>
    <row r="4" spans="1:4" x14ac:dyDescent="0.35">
      <c r="A4" s="8" t="s">
        <v>3</v>
      </c>
      <c r="B4" s="8" t="s">
        <v>46</v>
      </c>
      <c r="C4" s="8"/>
      <c r="D4" s="8"/>
    </row>
    <row r="5" spans="1:4" x14ac:dyDescent="0.35">
      <c r="A5" t="s">
        <v>28</v>
      </c>
      <c r="B5" s="40">
        <f>_xlfn.XLOOKUP("Insurance Cost per Vehicle per Month",tblFixedCosts[Driver Name],tblFixedCosts[Active Scenario Value])</f>
        <v>115</v>
      </c>
    </row>
    <row r="6" spans="1:4" x14ac:dyDescent="0.35">
      <c r="A6" t="s">
        <v>29</v>
      </c>
      <c r="B6" s="40">
        <f>_xlfn.XLOOKUP("Depreciation per Vehicle per Month",tblFixedCosts[Driver Name],tblFixedCosts[Active Scenario Value])</f>
        <v>400</v>
      </c>
    </row>
    <row r="7" spans="1:4" x14ac:dyDescent="0.35">
      <c r="A7" t="s">
        <v>30</v>
      </c>
      <c r="B7" s="40">
        <f>_xlfn.XLOOKUP("Platform Overhead Allocation per Month",tblFixedCosts[Driver Name],tblFixedCosts[Active Scenario Value])</f>
        <v>30000</v>
      </c>
    </row>
    <row r="9" spans="1:4" x14ac:dyDescent="0.35">
      <c r="A9" s="96" t="s">
        <v>80</v>
      </c>
      <c r="B9" s="97"/>
      <c r="C9" s="97"/>
      <c r="D9" s="97"/>
    </row>
    <row r="10" spans="1:4" x14ac:dyDescent="0.35">
      <c r="A10" s="8" t="s">
        <v>48</v>
      </c>
      <c r="B10" s="8" t="s">
        <v>46</v>
      </c>
      <c r="C10" s="8"/>
      <c r="D10" s="8"/>
    </row>
    <row r="11" spans="1:4" x14ac:dyDescent="0.35">
      <c r="A11" t="s">
        <v>9</v>
      </c>
      <c r="B11" s="34">
        <f>_xlfn.XLOOKUP("Total Fleet Size",tblFleet[Driver Name],tblFleet[Active Scenario Value])</f>
        <v>350</v>
      </c>
    </row>
    <row r="12" spans="1:4" x14ac:dyDescent="0.35">
      <c r="A12" t="s">
        <v>57</v>
      </c>
      <c r="B12" s="34">
        <f>_xlfn.XLOOKUP("Total Rides (Fleet)",tblVolumeEngine[Metric],tblVolumeEngine[Value])</f>
        <v>274400</v>
      </c>
    </row>
    <row r="14" spans="1:4" x14ac:dyDescent="0.35">
      <c r="A14" s="104" t="s">
        <v>142</v>
      </c>
      <c r="B14" s="80"/>
      <c r="C14" s="80"/>
      <c r="D14" s="80"/>
    </row>
    <row r="15" spans="1:4" x14ac:dyDescent="0.35">
      <c r="A15" s="8" t="s">
        <v>48</v>
      </c>
      <c r="B15" s="8" t="s">
        <v>4</v>
      </c>
      <c r="C15" s="8" t="s">
        <v>49</v>
      </c>
      <c r="D15" s="8" t="s">
        <v>50</v>
      </c>
    </row>
    <row r="16" spans="1:4" x14ac:dyDescent="0.35">
      <c r="A16" s="32" t="s">
        <v>143</v>
      </c>
      <c r="B16" s="32"/>
      <c r="C16" s="32"/>
      <c r="D16" s="32"/>
    </row>
    <row r="17" spans="1:4" x14ac:dyDescent="0.35">
      <c r="A17" t="s">
        <v>144</v>
      </c>
      <c r="B17" t="s">
        <v>86</v>
      </c>
      <c r="C17" t="s">
        <v>145</v>
      </c>
      <c r="D17" s="17">
        <f>Fleet_Size*Insurance_Per_Vehicle</f>
        <v>40250</v>
      </c>
    </row>
    <row r="18" spans="1:4" x14ac:dyDescent="0.35">
      <c r="A18" t="s">
        <v>146</v>
      </c>
      <c r="B18" t="s">
        <v>86</v>
      </c>
      <c r="C18" t="s">
        <v>147</v>
      </c>
      <c r="D18" s="17">
        <f>Fleet_Size*Depreciation_Per_Vehicle</f>
        <v>140000</v>
      </c>
    </row>
    <row r="19" spans="1:4" x14ac:dyDescent="0.35">
      <c r="A19" s="21" t="s">
        <v>184</v>
      </c>
      <c r="B19" s="21" t="s">
        <v>86</v>
      </c>
      <c r="C19" s="21" t="s">
        <v>148</v>
      </c>
      <c r="D19" s="35">
        <f>D17+D18</f>
        <v>180250</v>
      </c>
    </row>
    <row r="20" spans="1:4" x14ac:dyDescent="0.35">
      <c r="A20" s="32" t="s">
        <v>149</v>
      </c>
      <c r="B20" s="32"/>
      <c r="C20" s="32"/>
      <c r="D20" s="32"/>
    </row>
    <row r="21" spans="1:4" x14ac:dyDescent="0.35">
      <c r="A21" t="s">
        <v>150</v>
      </c>
      <c r="B21" t="s">
        <v>86</v>
      </c>
      <c r="C21" t="s">
        <v>151</v>
      </c>
      <c r="D21" s="17">
        <f>Platform_Overhead</f>
        <v>30000</v>
      </c>
    </row>
    <row r="22" spans="1:4" x14ac:dyDescent="0.35">
      <c r="A22" s="37" t="s">
        <v>152</v>
      </c>
      <c r="B22" s="37" t="s">
        <v>86</v>
      </c>
      <c r="C22" s="37" t="s">
        <v>153</v>
      </c>
      <c r="D22" s="38">
        <f>D19+D21</f>
        <v>210250</v>
      </c>
    </row>
    <row r="23" spans="1:4" x14ac:dyDescent="0.35">
      <c r="A23" s="32" t="s">
        <v>154</v>
      </c>
      <c r="B23" s="32"/>
      <c r="C23" s="32"/>
      <c r="D23" s="32"/>
    </row>
    <row r="24" spans="1:4" x14ac:dyDescent="0.35">
      <c r="A24" t="s">
        <v>155</v>
      </c>
      <c r="B24" t="s">
        <v>86</v>
      </c>
      <c r="C24" t="s">
        <v>156</v>
      </c>
      <c r="D24" s="17">
        <f>D22/Fleet_Size</f>
        <v>600.71428571428567</v>
      </c>
    </row>
    <row r="25" spans="1:4" x14ac:dyDescent="0.35">
      <c r="A25" t="s">
        <v>157</v>
      </c>
      <c r="B25" t="s">
        <v>86</v>
      </c>
      <c r="C25" t="s">
        <v>158</v>
      </c>
      <c r="D25" s="16">
        <f>D22/Fleet_Rides</f>
        <v>0.76621720116618075</v>
      </c>
    </row>
    <row r="27" spans="1:4" x14ac:dyDescent="0.35">
      <c r="A27" s="21" t="s">
        <v>36</v>
      </c>
      <c r="B27" s="29" t="s">
        <v>96</v>
      </c>
      <c r="C27" s="21" t="s">
        <v>132</v>
      </c>
    </row>
  </sheetData>
  <mergeCells count="4">
    <mergeCell ref="A1:D1"/>
    <mergeCell ref="A3:D3"/>
    <mergeCell ref="A9:D9"/>
    <mergeCell ref="A14:D14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E541-B65C-4ACF-B163-8891AC21C7C5}">
  <dimension ref="A1:N24"/>
  <sheetViews>
    <sheetView zoomScale="73" workbookViewId="0">
      <selection activeCell="B12" sqref="B12"/>
    </sheetView>
  </sheetViews>
  <sheetFormatPr defaultRowHeight="14.5" x14ac:dyDescent="0.35"/>
  <cols>
    <col min="1" max="1" width="22.6328125" bestFit="1" customWidth="1"/>
    <col min="2" max="2" width="11.54296875" bestFit="1" customWidth="1"/>
    <col min="3" max="13" width="9.90625" bestFit="1" customWidth="1"/>
    <col min="14" max="14" width="10.90625" bestFit="1" customWidth="1"/>
  </cols>
  <sheetData>
    <row r="1" spans="1:14" ht="18.5" x14ac:dyDescent="0.45">
      <c r="A1" s="103" t="s">
        <v>159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3" spans="1:14" x14ac:dyDescent="0.35">
      <c r="A3" s="96" t="s">
        <v>160</v>
      </c>
      <c r="B3" s="97"/>
      <c r="C3" s="97"/>
      <c r="D3" s="97"/>
    </row>
    <row r="4" spans="1:14" x14ac:dyDescent="0.35">
      <c r="A4" s="8" t="s">
        <v>3</v>
      </c>
      <c r="B4" s="8" t="s">
        <v>46</v>
      </c>
    </row>
    <row r="5" spans="1:14" x14ac:dyDescent="0.35">
      <c r="A5" t="s">
        <v>33</v>
      </c>
      <c r="B5" s="23">
        <f>_xlfn.XLOOKUP("Monthly Fleet Growth Rate",tblGrowth[Driver Name],tblGrowth[Active Scenario Value])</f>
        <v>0.01</v>
      </c>
    </row>
    <row r="6" spans="1:14" x14ac:dyDescent="0.35">
      <c r="A6" t="s">
        <v>34</v>
      </c>
      <c r="B6" s="23">
        <f>_xlfn.XLOOKUP("Monthly Price Growth Rate",tblGrowth[Driver Name],tblGrowth[Active Scenario Value])</f>
        <v>0</v>
      </c>
    </row>
    <row r="7" spans="1:14" x14ac:dyDescent="0.35">
      <c r="A7" t="s">
        <v>35</v>
      </c>
      <c r="B7" s="23">
        <f>_xlfn.XLOOKUP("Monthly Cost Inflation Rate",tblGrowth[Driver Name],tblGrowth[Active Scenario Value])</f>
        <v>2.5000000000000001E-2</v>
      </c>
    </row>
    <row r="9" spans="1:14" x14ac:dyDescent="0.35">
      <c r="A9" s="104" t="s">
        <v>161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</row>
    <row r="10" spans="1:14" x14ac:dyDescent="0.35">
      <c r="A10" s="46" t="s">
        <v>48</v>
      </c>
      <c r="B10" s="45" t="s">
        <v>162</v>
      </c>
      <c r="C10" s="45" t="s">
        <v>163</v>
      </c>
      <c r="D10" s="45" t="s">
        <v>164</v>
      </c>
      <c r="E10" s="45" t="s">
        <v>165</v>
      </c>
      <c r="F10" s="45" t="s">
        <v>166</v>
      </c>
      <c r="G10" s="45" t="s">
        <v>167</v>
      </c>
      <c r="H10" s="45" t="s">
        <v>168</v>
      </c>
      <c r="I10" s="45" t="s">
        <v>169</v>
      </c>
      <c r="J10" s="45" t="s">
        <v>170</v>
      </c>
      <c r="K10" s="45" t="s">
        <v>171</v>
      </c>
      <c r="L10" s="45" t="s">
        <v>172</v>
      </c>
      <c r="M10" s="45" t="s">
        <v>173</v>
      </c>
      <c r="N10" s="45" t="s">
        <v>174</v>
      </c>
    </row>
    <row r="11" spans="1:14" x14ac:dyDescent="0.35">
      <c r="A11" t="s">
        <v>175</v>
      </c>
      <c r="B11" s="27">
        <f>_xlfn.XLOOKUP("Total Fleet Size",tblFleet[Driver Name],tblFleet[Active Scenario Value])</f>
        <v>350</v>
      </c>
      <c r="C11" s="27">
        <f t="shared" ref="C11:M11" si="0">B11*(1+Fleet_Growth)</f>
        <v>353.5</v>
      </c>
      <c r="D11" s="27">
        <f t="shared" si="0"/>
        <v>357.03500000000003</v>
      </c>
      <c r="E11" s="27">
        <f t="shared" si="0"/>
        <v>360.60535000000004</v>
      </c>
      <c r="F11" s="27">
        <f t="shared" si="0"/>
        <v>364.21140350000007</v>
      </c>
      <c r="G11" s="27">
        <f t="shared" si="0"/>
        <v>367.85351753500009</v>
      </c>
      <c r="H11" s="27">
        <f t="shared" si="0"/>
        <v>371.53205271035011</v>
      </c>
      <c r="I11" s="27">
        <f t="shared" si="0"/>
        <v>375.24737323745364</v>
      </c>
      <c r="J11" s="27">
        <f t="shared" si="0"/>
        <v>378.99984696982818</v>
      </c>
      <c r="K11" s="27">
        <f t="shared" si="0"/>
        <v>382.78984543952646</v>
      </c>
      <c r="L11" s="27">
        <f t="shared" si="0"/>
        <v>386.61774389392173</v>
      </c>
      <c r="M11" s="27">
        <f t="shared" si="0"/>
        <v>390.48392133286097</v>
      </c>
      <c r="N11" s="56">
        <f>M11</f>
        <v>390.48392133286097</v>
      </c>
    </row>
    <row r="12" spans="1:14" x14ac:dyDescent="0.35">
      <c r="A12" s="47" t="s">
        <v>176</v>
      </c>
      <c r="B12" s="48">
        <f>_xlfn.XLOOKUP("Net Revenue",tblRevenueEngine[Metric],tblRevenueEngine[Value])</f>
        <v>938448</v>
      </c>
      <c r="C12" s="48">
        <f t="shared" ref="C12:M12" si="1">B12*(1+Fleet_Growth)*(1+Price_Growth)</f>
        <v>947832.48</v>
      </c>
      <c r="D12" s="48">
        <f t="shared" si="1"/>
        <v>957310.80480000004</v>
      </c>
      <c r="E12" s="48">
        <f t="shared" si="1"/>
        <v>966883.91284800007</v>
      </c>
      <c r="F12" s="48">
        <f t="shared" si="1"/>
        <v>976552.75197648013</v>
      </c>
      <c r="G12" s="48">
        <f t="shared" si="1"/>
        <v>986318.27949624497</v>
      </c>
      <c r="H12" s="48">
        <f t="shared" si="1"/>
        <v>996181.4622912074</v>
      </c>
      <c r="I12" s="48">
        <f t="shared" si="1"/>
        <v>1006143.2769141195</v>
      </c>
      <c r="J12" s="48">
        <f t="shared" si="1"/>
        <v>1016204.7096832606</v>
      </c>
      <c r="K12" s="48">
        <f t="shared" si="1"/>
        <v>1026366.7567800933</v>
      </c>
      <c r="L12" s="48">
        <f t="shared" si="1"/>
        <v>1036630.4243478943</v>
      </c>
      <c r="M12" s="48">
        <f t="shared" si="1"/>
        <v>1046996.7285913732</v>
      </c>
      <c r="N12" s="48">
        <f>SUM(B12:M12)</f>
        <v>11901869.587728674</v>
      </c>
    </row>
    <row r="13" spans="1:14" x14ac:dyDescent="0.35">
      <c r="A13" s="21" t="s">
        <v>177</v>
      </c>
      <c r="B13" s="35">
        <f>_xlfn.XLOOKUP("Total Variable Costs",tblVariableCostEngine[Metric],tblVariableCostEngine[Value])</f>
        <v>632324</v>
      </c>
      <c r="C13" s="35">
        <f t="shared" ref="C13:M13" si="2">B13*(1+Fleet_Growth)*(1+Cost_Inflation)</f>
        <v>654613.42099999997</v>
      </c>
      <c r="D13" s="35">
        <f t="shared" si="2"/>
        <v>677688.54409024992</v>
      </c>
      <c r="E13" s="35">
        <f t="shared" si="2"/>
        <v>701577.06526943122</v>
      </c>
      <c r="F13" s="35">
        <f t="shared" si="2"/>
        <v>726307.65682017861</v>
      </c>
      <c r="G13" s="35">
        <f t="shared" si="2"/>
        <v>751910.00172308984</v>
      </c>
      <c r="H13" s="35">
        <f t="shared" si="2"/>
        <v>778414.82928382873</v>
      </c>
      <c r="I13" s="35">
        <f t="shared" si="2"/>
        <v>805853.95201608352</v>
      </c>
      <c r="J13" s="35">
        <f t="shared" si="2"/>
        <v>834260.30382465047</v>
      </c>
      <c r="K13" s="35">
        <f t="shared" si="2"/>
        <v>863667.97953446931</v>
      </c>
      <c r="L13" s="35">
        <f t="shared" si="2"/>
        <v>894112.2758130593</v>
      </c>
      <c r="M13" s="35">
        <f t="shared" si="2"/>
        <v>925629.73353546951</v>
      </c>
      <c r="N13" s="57">
        <f>SUM(B13:M13)</f>
        <v>9246359.7629105095</v>
      </c>
    </row>
    <row r="14" spans="1:14" x14ac:dyDescent="0.35">
      <c r="A14" s="49" t="s">
        <v>178</v>
      </c>
      <c r="B14" s="50">
        <f>B12-B13</f>
        <v>306124</v>
      </c>
      <c r="C14" s="50">
        <f>C12-C13</f>
        <v>293219.05900000001</v>
      </c>
      <c r="D14" s="50">
        <f t="shared" ref="D14:M14" si="3">D12-D13</f>
        <v>279622.26070975012</v>
      </c>
      <c r="E14" s="50">
        <f t="shared" si="3"/>
        <v>265306.84757856885</v>
      </c>
      <c r="F14" s="50">
        <f t="shared" si="3"/>
        <v>250245.09515630151</v>
      </c>
      <c r="G14" s="50">
        <f t="shared" si="3"/>
        <v>234408.27777315513</v>
      </c>
      <c r="H14" s="50">
        <f t="shared" si="3"/>
        <v>217766.63300737867</v>
      </c>
      <c r="I14" s="50">
        <f t="shared" si="3"/>
        <v>200289.32489803596</v>
      </c>
      <c r="J14" s="50">
        <f t="shared" si="3"/>
        <v>181944.40585861017</v>
      </c>
      <c r="K14" s="50">
        <f t="shared" si="3"/>
        <v>162698.77724562399</v>
      </c>
      <c r="L14" s="50">
        <f t="shared" si="3"/>
        <v>142518.14853483497</v>
      </c>
      <c r="M14" s="50">
        <f t="shared" si="3"/>
        <v>121366.99505590368</v>
      </c>
      <c r="N14" s="50">
        <f>SUM(B14:M14)</f>
        <v>2655509.8248181627</v>
      </c>
    </row>
    <row r="15" spans="1:14" x14ac:dyDescent="0.35">
      <c r="A15" s="51" t="s">
        <v>179</v>
      </c>
      <c r="B15" s="52">
        <f>B14/B12</f>
        <v>0.32620241078887696</v>
      </c>
      <c r="C15" s="52">
        <f>C14/C12</f>
        <v>0.3093574710585989</v>
      </c>
      <c r="D15" s="52">
        <f t="shared" ref="D15:M15" si="4">D14/D12</f>
        <v>0.29209140783506393</v>
      </c>
      <c r="E15" s="52">
        <f t="shared" si="4"/>
        <v>0.27439369303094058</v>
      </c>
      <c r="F15" s="52">
        <f t="shared" si="4"/>
        <v>0.25625353535671419</v>
      </c>
      <c r="G15" s="52">
        <f t="shared" si="4"/>
        <v>0.23765987374063216</v>
      </c>
      <c r="H15" s="52">
        <f t="shared" si="4"/>
        <v>0.21860137058414797</v>
      </c>
      <c r="I15" s="52">
        <f t="shared" si="4"/>
        <v>0.19906640484875188</v>
      </c>
      <c r="J15" s="52">
        <f t="shared" si="4"/>
        <v>0.17904306496997063</v>
      </c>
      <c r="K15" s="52">
        <f t="shared" si="4"/>
        <v>0.15851914159422001</v>
      </c>
      <c r="L15" s="52">
        <f t="shared" si="4"/>
        <v>0.1374821201340756</v>
      </c>
      <c r="M15" s="52">
        <f t="shared" si="4"/>
        <v>0.1159191731374276</v>
      </c>
      <c r="N15" s="52">
        <f>N14/N12</f>
        <v>0.22311703260100452</v>
      </c>
    </row>
    <row r="16" spans="1:14" x14ac:dyDescent="0.3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4"/>
    </row>
    <row r="17" spans="1:14" x14ac:dyDescent="0.35">
      <c r="A17" s="21" t="s">
        <v>184</v>
      </c>
      <c r="B17" s="17">
        <f>_xlfn.XLOOKUP("Vehicle Fixed Costs (Total)",tblFixedCostEngine[Metric],tblFixedCostEngine[Value])</f>
        <v>180250</v>
      </c>
      <c r="C17" s="17">
        <f t="shared" ref="C17:M17" si="5">B17*(1+Fleet_Growth)</f>
        <v>182052.5</v>
      </c>
      <c r="D17" s="17">
        <f t="shared" si="5"/>
        <v>183873.02499999999</v>
      </c>
      <c r="E17" s="17">
        <f t="shared" si="5"/>
        <v>185711.75524999999</v>
      </c>
      <c r="F17" s="17">
        <f t="shared" si="5"/>
        <v>187568.8728025</v>
      </c>
      <c r="G17" s="17">
        <f t="shared" si="5"/>
        <v>189444.56153052501</v>
      </c>
      <c r="H17" s="17">
        <f t="shared" si="5"/>
        <v>191339.00714583026</v>
      </c>
      <c r="I17" s="17">
        <f t="shared" si="5"/>
        <v>193252.39721728856</v>
      </c>
      <c r="J17" s="17">
        <f t="shared" si="5"/>
        <v>195184.92118946146</v>
      </c>
      <c r="K17" s="17">
        <f t="shared" si="5"/>
        <v>197136.77040135607</v>
      </c>
      <c r="L17" s="17">
        <f t="shared" si="5"/>
        <v>199108.13810536964</v>
      </c>
      <c r="M17" s="17">
        <f t="shared" si="5"/>
        <v>201099.21948642333</v>
      </c>
      <c r="N17" s="58">
        <f>SUM(B17:M17)</f>
        <v>2286021.1681287545</v>
      </c>
    </row>
    <row r="18" spans="1:14" x14ac:dyDescent="0.35">
      <c r="A18" t="s">
        <v>150</v>
      </c>
      <c r="B18" s="17">
        <f>_xlfn.XLOOKUP("Platform Overhead",tblFixedCostEngine[Metric],tblFixedCostEngine[Value])</f>
        <v>30000</v>
      </c>
      <c r="C18" s="17">
        <f t="shared" ref="C18:M18" si="6">B18*(1+Cost_Inflation)</f>
        <v>30749.999999999996</v>
      </c>
      <c r="D18" s="17">
        <f t="shared" si="6"/>
        <v>31518.749999999993</v>
      </c>
      <c r="E18" s="17">
        <f t="shared" si="6"/>
        <v>32306.718749999989</v>
      </c>
      <c r="F18" s="17">
        <f t="shared" si="6"/>
        <v>33114.386718749985</v>
      </c>
      <c r="G18" s="17">
        <f t="shared" si="6"/>
        <v>33942.246386718733</v>
      </c>
      <c r="H18" s="17">
        <f t="shared" si="6"/>
        <v>34790.802546386694</v>
      </c>
      <c r="I18" s="17">
        <f t="shared" si="6"/>
        <v>35660.572610046358</v>
      </c>
      <c r="J18" s="17">
        <f t="shared" si="6"/>
        <v>36552.086925297517</v>
      </c>
      <c r="K18" s="17">
        <f t="shared" si="6"/>
        <v>37465.889098429951</v>
      </c>
      <c r="L18" s="17">
        <f t="shared" si="6"/>
        <v>38402.536325890695</v>
      </c>
      <c r="M18" s="17">
        <f t="shared" si="6"/>
        <v>39362.599734037962</v>
      </c>
      <c r="N18" s="58">
        <f>SUM(B18:M18)</f>
        <v>413866.58909555787</v>
      </c>
    </row>
    <row r="19" spans="1:14" x14ac:dyDescent="0.35">
      <c r="A19" s="53" t="s">
        <v>152</v>
      </c>
      <c r="B19" s="54">
        <f>B17+B18</f>
        <v>210250</v>
      </c>
      <c r="C19" s="54">
        <f>C17+C18</f>
        <v>212802.5</v>
      </c>
      <c r="D19" s="54">
        <f t="shared" ref="D19:M19" si="7">D17+D18</f>
        <v>215391.77499999999</v>
      </c>
      <c r="E19" s="54">
        <f t="shared" si="7"/>
        <v>218018.47399999999</v>
      </c>
      <c r="F19" s="54">
        <f t="shared" si="7"/>
        <v>220683.25952124997</v>
      </c>
      <c r="G19" s="54">
        <f t="shared" si="7"/>
        <v>223386.80791724374</v>
      </c>
      <c r="H19" s="54">
        <f t="shared" si="7"/>
        <v>226129.80969221695</v>
      </c>
      <c r="I19" s="54">
        <f t="shared" si="7"/>
        <v>228912.96982733492</v>
      </c>
      <c r="J19" s="54">
        <f t="shared" si="7"/>
        <v>231737.00811475897</v>
      </c>
      <c r="K19" s="54">
        <f t="shared" si="7"/>
        <v>234602.65949978604</v>
      </c>
      <c r="L19" s="54">
        <f t="shared" si="7"/>
        <v>237510.67443126033</v>
      </c>
      <c r="M19" s="54">
        <f t="shared" si="7"/>
        <v>240461.8192204613</v>
      </c>
      <c r="N19" s="54">
        <f>SUM(B19:M19)</f>
        <v>2699887.7572243121</v>
      </c>
    </row>
    <row r="20" spans="1:14" x14ac:dyDescent="0.3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44"/>
    </row>
    <row r="21" spans="1:14" x14ac:dyDescent="0.35">
      <c r="A21" s="47" t="s">
        <v>180</v>
      </c>
      <c r="B21" s="48">
        <f>B14-B19</f>
        <v>95874</v>
      </c>
      <c r="C21" s="48">
        <f>C14-C19</f>
        <v>80416.559000000008</v>
      </c>
      <c r="D21" s="48">
        <f t="shared" ref="D21:M21" si="8">D14-D19</f>
        <v>64230.485709750123</v>
      </c>
      <c r="E21" s="48">
        <f t="shared" si="8"/>
        <v>47288.373578568862</v>
      </c>
      <c r="F21" s="48">
        <f t="shared" si="8"/>
        <v>29561.835635051539</v>
      </c>
      <c r="G21" s="48">
        <f t="shared" si="8"/>
        <v>11021.469855911389</v>
      </c>
      <c r="H21" s="48">
        <f t="shared" si="8"/>
        <v>-8363.1766848382831</v>
      </c>
      <c r="I21" s="48">
        <f t="shared" si="8"/>
        <v>-28623.644929298956</v>
      </c>
      <c r="J21" s="48">
        <f t="shared" si="8"/>
        <v>-49792.602256148792</v>
      </c>
      <c r="K21" s="48">
        <f t="shared" si="8"/>
        <v>-71903.882254162047</v>
      </c>
      <c r="L21" s="48">
        <f t="shared" si="8"/>
        <v>-94992.525896425359</v>
      </c>
      <c r="M21" s="48">
        <f t="shared" si="8"/>
        <v>-119094.82416455762</v>
      </c>
      <c r="N21" s="48">
        <f>SUM(B21:M21)</f>
        <v>-44377.932406149077</v>
      </c>
    </row>
    <row r="22" spans="1:14" x14ac:dyDescent="0.35">
      <c r="A22" s="37" t="s">
        <v>181</v>
      </c>
      <c r="B22" s="55">
        <f>B21/B12</f>
        <v>0.10216229348882411</v>
      </c>
      <c r="C22" s="55">
        <f>C21/C12</f>
        <v>8.4842586318628802E-2</v>
      </c>
      <c r="D22" s="55">
        <f t="shared" ref="D22:M22" si="9">D21/D12</f>
        <v>6.7094704653593726E-2</v>
      </c>
      <c r="E22" s="55">
        <f t="shared" si="9"/>
        <v>4.8908015688542E-2</v>
      </c>
      <c r="F22" s="55">
        <f t="shared" si="9"/>
        <v>3.0271621860898226E-2</v>
      </c>
      <c r="G22" s="55">
        <f t="shared" si="9"/>
        <v>1.1174354247536126E-2</v>
      </c>
      <c r="H22" s="55">
        <f t="shared" si="9"/>
        <v>-8.3952342032174148E-3</v>
      </c>
      <c r="I22" s="55">
        <f t="shared" si="9"/>
        <v>-2.8448875608540352E-2</v>
      </c>
      <c r="J22" s="55">
        <f t="shared" si="9"/>
        <v>-4.8998594261257238E-2</v>
      </c>
      <c r="K22" s="55">
        <f t="shared" si="9"/>
        <v>-7.0056713917487093E-2</v>
      </c>
      <c r="L22" s="55">
        <f t="shared" si="9"/>
        <v>-9.1635865266236641E-2</v>
      </c>
      <c r="M22" s="55">
        <f t="shared" si="9"/>
        <v>-0.11374899358547902</v>
      </c>
      <c r="N22" s="55">
        <f>N21/N12</f>
        <v>-3.728652215438874E-3</v>
      </c>
    </row>
    <row r="24" spans="1:14" x14ac:dyDescent="0.35">
      <c r="A24" s="21" t="s">
        <v>36</v>
      </c>
      <c r="B24" s="29" t="s">
        <v>182</v>
      </c>
      <c r="C24" s="21" t="s">
        <v>183</v>
      </c>
    </row>
  </sheetData>
  <mergeCells count="3">
    <mergeCell ref="A1:N1"/>
    <mergeCell ref="A3:D3"/>
    <mergeCell ref="A9:N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89B9-C522-4D0C-BCF5-8791FD464DFB}">
  <dimension ref="A1:L50"/>
  <sheetViews>
    <sheetView tabSelected="1" zoomScale="64" workbookViewId="0">
      <pane ySplit="3" topLeftCell="A19" activePane="bottomLeft" state="frozen"/>
      <selection pane="bottomLeft" activeCell="A45" sqref="A45"/>
    </sheetView>
  </sheetViews>
  <sheetFormatPr defaultRowHeight="14.5" x14ac:dyDescent="0.35"/>
  <cols>
    <col min="1" max="1" width="13.54296875" bestFit="1" customWidth="1"/>
    <col min="2" max="3" width="11.54296875" bestFit="1" customWidth="1"/>
    <col min="4" max="4" width="11.7265625" bestFit="1" customWidth="1"/>
    <col min="5" max="6" width="11.54296875" bestFit="1" customWidth="1"/>
  </cols>
  <sheetData>
    <row r="1" spans="1:12" ht="18.5" x14ac:dyDescent="0.45">
      <c r="A1" s="103" t="s">
        <v>185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x14ac:dyDescent="0.35">
      <c r="A2" s="106" t="s">
        <v>186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4" spans="1:12" x14ac:dyDescent="0.35">
      <c r="A4" s="105" t="s">
        <v>187</v>
      </c>
      <c r="B4" s="105"/>
      <c r="C4" s="105"/>
      <c r="D4" s="105"/>
      <c r="E4" s="105"/>
      <c r="F4" s="105"/>
    </row>
    <row r="5" spans="1:12" x14ac:dyDescent="0.35">
      <c r="A5" s="59" t="s">
        <v>188</v>
      </c>
      <c r="B5" s="60">
        <v>0.5</v>
      </c>
      <c r="C5" s="60">
        <v>0.57499999999999996</v>
      </c>
      <c r="D5" s="60">
        <v>0.65</v>
      </c>
      <c r="E5" s="60">
        <v>0.72499999999999998</v>
      </c>
      <c r="F5" s="60">
        <v>0.8</v>
      </c>
    </row>
    <row r="6" spans="1:12" x14ac:dyDescent="0.35">
      <c r="A6" s="61">
        <v>0.21</v>
      </c>
      <c r="B6" s="17">
        <v>29286761</v>
      </c>
      <c r="C6" s="17">
        <v>33679775</v>
      </c>
      <c r="D6" s="17">
        <v>38072790</v>
      </c>
      <c r="E6" s="17">
        <v>42465804</v>
      </c>
      <c r="F6" s="17">
        <v>46858818</v>
      </c>
    </row>
    <row r="7" spans="1:12" x14ac:dyDescent="0.35">
      <c r="A7" s="61">
        <v>0.25</v>
      </c>
      <c r="B7" s="17">
        <v>33919671</v>
      </c>
      <c r="C7" s="17">
        <v>39007622</v>
      </c>
      <c r="D7" s="17">
        <v>44095572</v>
      </c>
      <c r="E7" s="17">
        <v>49183523</v>
      </c>
      <c r="F7" s="17">
        <v>54271474</v>
      </c>
    </row>
    <row r="8" spans="1:12" x14ac:dyDescent="0.35">
      <c r="A8" s="61">
        <v>0.28999999999999998</v>
      </c>
      <c r="B8" s="17">
        <v>38552581</v>
      </c>
      <c r="C8" s="17">
        <v>44335468</v>
      </c>
      <c r="D8" s="62">
        <v>50118355</v>
      </c>
      <c r="E8" s="17">
        <v>55901242</v>
      </c>
      <c r="F8" s="17">
        <v>61684129</v>
      </c>
    </row>
    <row r="9" spans="1:12" x14ac:dyDescent="0.35">
      <c r="A9" s="61">
        <v>0.33</v>
      </c>
      <c r="B9" s="17">
        <v>43185491</v>
      </c>
      <c r="C9" s="17">
        <v>49663314</v>
      </c>
      <c r="D9" s="17">
        <v>56141138</v>
      </c>
      <c r="E9" s="17">
        <v>62618961</v>
      </c>
      <c r="F9" s="17">
        <v>69096785</v>
      </c>
    </row>
    <row r="10" spans="1:12" x14ac:dyDescent="0.35">
      <c r="A10" s="61">
        <v>0.37</v>
      </c>
      <c r="B10" s="17">
        <v>47818400</v>
      </c>
      <c r="C10" s="17">
        <v>54991160</v>
      </c>
      <c r="D10" s="17">
        <v>62163920</v>
      </c>
      <c r="E10" s="17">
        <v>69336680</v>
      </c>
      <c r="F10" s="17">
        <v>76509441</v>
      </c>
    </row>
    <row r="12" spans="1:12" x14ac:dyDescent="0.35">
      <c r="A12" s="105" t="s">
        <v>189</v>
      </c>
      <c r="B12" s="105"/>
      <c r="C12" s="105"/>
      <c r="D12" s="105"/>
      <c r="E12" s="105"/>
      <c r="F12" s="105"/>
    </row>
    <row r="13" spans="1:12" x14ac:dyDescent="0.35">
      <c r="A13" s="59" t="s">
        <v>188</v>
      </c>
      <c r="B13" s="60">
        <v>0.5</v>
      </c>
      <c r="C13" s="60">
        <v>0.57499999999999996</v>
      </c>
      <c r="D13" s="60">
        <v>0.65</v>
      </c>
      <c r="E13" s="60">
        <v>0.72499999999999998</v>
      </c>
      <c r="F13" s="60">
        <v>0.8</v>
      </c>
    </row>
    <row r="14" spans="1:12" x14ac:dyDescent="0.35">
      <c r="A14" s="61">
        <v>0.21</v>
      </c>
      <c r="B14" s="15">
        <v>0.49</v>
      </c>
      <c r="C14" s="15">
        <v>0.51190000000000002</v>
      </c>
      <c r="D14" s="15">
        <v>0.52869999999999995</v>
      </c>
      <c r="E14" s="15">
        <v>0.54200000000000004</v>
      </c>
      <c r="F14" s="15">
        <v>0.55279999999999996</v>
      </c>
    </row>
    <row r="15" spans="1:12" x14ac:dyDescent="0.35">
      <c r="A15" s="61">
        <v>0.25</v>
      </c>
      <c r="B15" s="15">
        <v>0.55969999999999998</v>
      </c>
      <c r="C15" s="15">
        <v>0.57850000000000001</v>
      </c>
      <c r="D15" s="15">
        <v>0.59299999999999997</v>
      </c>
      <c r="E15" s="15">
        <v>0.60450000000000004</v>
      </c>
      <c r="F15" s="15">
        <v>0.6139</v>
      </c>
    </row>
    <row r="16" spans="1:12" x14ac:dyDescent="0.35">
      <c r="A16" s="61">
        <v>0.28999999999999998</v>
      </c>
      <c r="B16" s="15">
        <v>0.61260000000000003</v>
      </c>
      <c r="C16" s="15">
        <v>0.62919999999999998</v>
      </c>
      <c r="D16" s="63">
        <v>0.64190000000000003</v>
      </c>
      <c r="E16" s="15">
        <v>0.65210000000000001</v>
      </c>
      <c r="F16" s="15">
        <v>0.6603</v>
      </c>
    </row>
    <row r="17" spans="1:6" x14ac:dyDescent="0.35">
      <c r="A17" s="61">
        <v>0.33</v>
      </c>
      <c r="B17" s="15">
        <v>0.6542</v>
      </c>
      <c r="C17" s="15">
        <v>0.66900000000000004</v>
      </c>
      <c r="D17" s="15">
        <v>0.6804</v>
      </c>
      <c r="E17" s="15">
        <v>0.68940000000000001</v>
      </c>
      <c r="F17" s="15">
        <v>0.69669999999999999</v>
      </c>
    </row>
    <row r="18" spans="1:6" x14ac:dyDescent="0.35">
      <c r="A18" s="61">
        <v>0.37</v>
      </c>
      <c r="B18" s="15">
        <v>0.68769999999999998</v>
      </c>
      <c r="C18" s="15">
        <v>0.70099999999999996</v>
      </c>
      <c r="D18" s="15">
        <v>0.71130000000000004</v>
      </c>
      <c r="E18" s="15">
        <v>0.71950000000000003</v>
      </c>
      <c r="F18" s="15">
        <v>0.72609999999999997</v>
      </c>
    </row>
    <row r="20" spans="1:6" x14ac:dyDescent="0.35">
      <c r="A20" s="105" t="s">
        <v>190</v>
      </c>
      <c r="B20" s="105"/>
      <c r="C20" s="105"/>
      <c r="D20" s="105"/>
      <c r="E20" s="105"/>
      <c r="F20" s="105"/>
    </row>
    <row r="21" spans="1:6" x14ac:dyDescent="0.35">
      <c r="A21" s="59" t="s">
        <v>191</v>
      </c>
      <c r="B21" s="60">
        <v>0</v>
      </c>
      <c r="C21" s="60">
        <v>5.0000000000000001E-3</v>
      </c>
      <c r="D21" s="60">
        <v>0.01</v>
      </c>
      <c r="E21" s="60">
        <v>1.4999999999999999E-2</v>
      </c>
      <c r="F21" s="60">
        <v>0.02</v>
      </c>
    </row>
    <row r="22" spans="1:6" x14ac:dyDescent="0.35">
      <c r="A22" s="60">
        <v>0</v>
      </c>
      <c r="B22" s="17">
        <v>40268635</v>
      </c>
      <c r="C22" s="17">
        <v>41242106</v>
      </c>
      <c r="D22" s="17">
        <v>42248586</v>
      </c>
      <c r="E22" s="17">
        <v>43289205</v>
      </c>
      <c r="F22" s="17">
        <v>44365128</v>
      </c>
    </row>
    <row r="23" spans="1:6" x14ac:dyDescent="0.35">
      <c r="A23" s="60">
        <v>1.4999999999999999E-2</v>
      </c>
      <c r="B23" s="17">
        <v>43762648</v>
      </c>
      <c r="C23" s="17">
        <v>44854985</v>
      </c>
      <c r="D23" s="17">
        <v>45984954</v>
      </c>
      <c r="E23" s="17">
        <v>47153855</v>
      </c>
      <c r="F23" s="17">
        <v>48363031</v>
      </c>
    </row>
    <row r="24" spans="1:6" x14ac:dyDescent="0.35">
      <c r="A24" s="60">
        <v>0.03</v>
      </c>
      <c r="B24" s="17">
        <v>47624471</v>
      </c>
      <c r="C24" s="17">
        <v>48849983</v>
      </c>
      <c r="D24" s="62">
        <v>50118355</v>
      </c>
      <c r="E24" s="17">
        <v>51431080</v>
      </c>
      <c r="F24" s="17">
        <v>52789702</v>
      </c>
    </row>
    <row r="25" spans="1:6" x14ac:dyDescent="0.35">
      <c r="A25" s="60">
        <v>4.4999999999999998E-2</v>
      </c>
      <c r="B25" s="17">
        <v>51892954</v>
      </c>
      <c r="C25" s="17">
        <v>53267575</v>
      </c>
      <c r="D25" s="17">
        <v>54690960</v>
      </c>
      <c r="E25" s="17">
        <v>56164822</v>
      </c>
      <c r="F25" s="17">
        <v>57690935</v>
      </c>
    </row>
    <row r="26" spans="1:6" x14ac:dyDescent="0.35">
      <c r="A26" s="60">
        <v>0.06</v>
      </c>
      <c r="B26" s="17">
        <v>56610791</v>
      </c>
      <c r="C26" s="17">
        <v>58152247</v>
      </c>
      <c r="D26" s="17">
        <v>59749127</v>
      </c>
      <c r="E26" s="17">
        <v>61403395</v>
      </c>
      <c r="F26" s="17">
        <v>63117083</v>
      </c>
    </row>
    <row r="28" spans="1:6" x14ac:dyDescent="0.35">
      <c r="A28" s="105" t="s">
        <v>192</v>
      </c>
      <c r="B28" s="105"/>
      <c r="C28" s="105"/>
      <c r="D28" s="105"/>
      <c r="E28" s="105"/>
      <c r="F28" s="105"/>
    </row>
    <row r="29" spans="1:6" x14ac:dyDescent="0.35">
      <c r="A29" s="59" t="s">
        <v>191</v>
      </c>
      <c r="B29" s="60">
        <v>0</v>
      </c>
      <c r="C29" s="60">
        <v>5.0000000000000001E-3</v>
      </c>
      <c r="D29" s="60">
        <v>0.01</v>
      </c>
      <c r="E29" s="60">
        <v>1.4999999999999999E-2</v>
      </c>
      <c r="F29" s="60">
        <v>0.02</v>
      </c>
    </row>
    <row r="30" spans="1:6" x14ac:dyDescent="0.35">
      <c r="A30" s="60">
        <v>0</v>
      </c>
      <c r="B30" s="15">
        <v>0.62190000000000001</v>
      </c>
      <c r="C30" s="15">
        <v>0.63090000000000002</v>
      </c>
      <c r="D30" s="15">
        <v>0.63970000000000005</v>
      </c>
      <c r="E30" s="15">
        <v>0.64829999999999999</v>
      </c>
      <c r="F30" s="15">
        <v>0.65690000000000004</v>
      </c>
    </row>
    <row r="31" spans="1:6" x14ac:dyDescent="0.35">
      <c r="A31" s="60">
        <v>1.4999999999999999E-2</v>
      </c>
      <c r="B31" s="15">
        <v>0.62260000000000004</v>
      </c>
      <c r="C31" s="15">
        <v>0.63180000000000003</v>
      </c>
      <c r="D31" s="15">
        <v>0.64080000000000004</v>
      </c>
      <c r="E31" s="15">
        <v>0.64970000000000006</v>
      </c>
      <c r="F31" s="15">
        <v>0.65849999999999997</v>
      </c>
    </row>
    <row r="32" spans="1:6" x14ac:dyDescent="0.35">
      <c r="A32" s="60">
        <v>0.03</v>
      </c>
      <c r="B32" s="15">
        <v>0.62319999999999998</v>
      </c>
      <c r="C32" s="15">
        <v>0.63260000000000005</v>
      </c>
      <c r="D32" s="63">
        <v>0.64190000000000003</v>
      </c>
      <c r="E32" s="15">
        <v>0.65110000000000001</v>
      </c>
      <c r="F32" s="15">
        <v>0.66010000000000002</v>
      </c>
    </row>
    <row r="33" spans="1:6" x14ac:dyDescent="0.35">
      <c r="A33" s="60">
        <v>4.4999999999999998E-2</v>
      </c>
      <c r="B33" s="15">
        <v>0.62380000000000002</v>
      </c>
      <c r="C33" s="15">
        <v>0.63349999999999995</v>
      </c>
      <c r="D33" s="15">
        <v>0.64300000000000002</v>
      </c>
      <c r="E33" s="15">
        <v>0.65239999999999998</v>
      </c>
      <c r="F33" s="15">
        <v>0.66159999999999997</v>
      </c>
    </row>
    <row r="34" spans="1:6" x14ac:dyDescent="0.35">
      <c r="A34" s="60">
        <v>0.06</v>
      </c>
      <c r="B34" s="15">
        <v>0.62429999999999997</v>
      </c>
      <c r="C34" s="15">
        <v>0.63419999999999999</v>
      </c>
      <c r="D34" s="15">
        <v>0.64400000000000002</v>
      </c>
      <c r="E34" s="15">
        <v>0.65359999999999996</v>
      </c>
      <c r="F34" s="15">
        <v>0.66300000000000003</v>
      </c>
    </row>
    <row r="36" spans="1:6" x14ac:dyDescent="0.35">
      <c r="A36" s="105" t="s">
        <v>193</v>
      </c>
      <c r="B36" s="105"/>
      <c r="C36" s="105"/>
      <c r="D36" s="105"/>
      <c r="E36" s="105"/>
      <c r="F36" s="105"/>
    </row>
    <row r="37" spans="1:6" x14ac:dyDescent="0.35">
      <c r="A37" s="59" t="s">
        <v>194</v>
      </c>
      <c r="B37" s="60">
        <v>0</v>
      </c>
      <c r="C37" s="60">
        <v>1.4999999999999999E-2</v>
      </c>
      <c r="D37" s="60">
        <v>0.03</v>
      </c>
      <c r="E37" s="60">
        <v>4.4999999999999998E-2</v>
      </c>
      <c r="F37" s="60">
        <v>0.06</v>
      </c>
    </row>
    <row r="38" spans="1:6" x14ac:dyDescent="0.35">
      <c r="A38" s="60">
        <v>0</v>
      </c>
      <c r="B38" s="17">
        <v>42248586</v>
      </c>
      <c r="C38" s="17">
        <v>45984954</v>
      </c>
      <c r="D38" s="17">
        <v>50118355</v>
      </c>
      <c r="E38" s="17">
        <v>54690960</v>
      </c>
      <c r="F38" s="17">
        <v>59749127</v>
      </c>
    </row>
    <row r="39" spans="1:6" x14ac:dyDescent="0.35">
      <c r="A39" s="60">
        <v>7.4999999999999997E-3</v>
      </c>
      <c r="B39" s="17">
        <v>42248586</v>
      </c>
      <c r="C39" s="17">
        <v>45984954</v>
      </c>
      <c r="D39" s="17">
        <v>50118355</v>
      </c>
      <c r="E39" s="17">
        <v>54690960</v>
      </c>
      <c r="F39" s="17">
        <v>59749127</v>
      </c>
    </row>
    <row r="40" spans="1:6" x14ac:dyDescent="0.35">
      <c r="A40" s="60">
        <v>1.4999999999999999E-2</v>
      </c>
      <c r="B40" s="17">
        <v>42248586</v>
      </c>
      <c r="C40" s="17">
        <v>45984954</v>
      </c>
      <c r="D40" s="62">
        <v>50118355</v>
      </c>
      <c r="E40" s="17">
        <v>54690960</v>
      </c>
      <c r="F40" s="17">
        <v>59749127</v>
      </c>
    </row>
    <row r="41" spans="1:6" x14ac:dyDescent="0.35">
      <c r="A41" s="60">
        <v>2.2499999999999999E-2</v>
      </c>
      <c r="B41" s="17">
        <v>42248586</v>
      </c>
      <c r="C41" s="17">
        <v>45984954</v>
      </c>
      <c r="D41" s="17">
        <v>50118355</v>
      </c>
      <c r="E41" s="17">
        <v>54690960</v>
      </c>
      <c r="F41" s="17">
        <v>59749127</v>
      </c>
    </row>
    <row r="42" spans="1:6" x14ac:dyDescent="0.35">
      <c r="A42" s="60">
        <v>0.03</v>
      </c>
      <c r="B42" s="17">
        <v>42248586</v>
      </c>
      <c r="C42" s="17">
        <v>45984954</v>
      </c>
      <c r="D42" s="17">
        <v>50118355</v>
      </c>
      <c r="E42" s="17">
        <v>54690960</v>
      </c>
      <c r="F42" s="17">
        <v>59749127</v>
      </c>
    </row>
    <row r="44" spans="1:6" x14ac:dyDescent="0.35">
      <c r="A44" s="105" t="s">
        <v>195</v>
      </c>
      <c r="B44" s="105"/>
      <c r="C44" s="105"/>
      <c r="D44" s="105"/>
      <c r="E44" s="105"/>
      <c r="F44" s="105"/>
    </row>
    <row r="45" spans="1:6" x14ac:dyDescent="0.35">
      <c r="A45" s="59" t="s">
        <v>194</v>
      </c>
      <c r="B45" s="60">
        <v>0</v>
      </c>
      <c r="C45" s="60">
        <v>1.4999999999999999E-2</v>
      </c>
      <c r="D45" s="60">
        <v>0.03</v>
      </c>
      <c r="E45" s="60">
        <v>4.4999999999999998E-2</v>
      </c>
      <c r="F45" s="60">
        <v>0.06</v>
      </c>
    </row>
    <row r="46" spans="1:6" x14ac:dyDescent="0.35">
      <c r="A46" s="60">
        <v>0</v>
      </c>
      <c r="B46" s="15">
        <v>0.64029999999999998</v>
      </c>
      <c r="C46" s="15">
        <v>0.64139999999999997</v>
      </c>
      <c r="D46" s="15">
        <v>0.64249999999999996</v>
      </c>
      <c r="E46" s="15">
        <v>0.64349999999999996</v>
      </c>
      <c r="F46" s="15">
        <v>0.64449999999999996</v>
      </c>
    </row>
    <row r="47" spans="1:6" x14ac:dyDescent="0.35">
      <c r="A47" s="60">
        <v>7.4999999999999997E-3</v>
      </c>
      <c r="B47" s="15">
        <v>0.64</v>
      </c>
      <c r="C47" s="15">
        <v>0.6411</v>
      </c>
      <c r="D47" s="15">
        <v>0.64219999999999999</v>
      </c>
      <c r="E47" s="15">
        <v>0.64319999999999999</v>
      </c>
      <c r="F47" s="15">
        <v>0.64419999999999999</v>
      </c>
    </row>
    <row r="48" spans="1:6" x14ac:dyDescent="0.35">
      <c r="A48" s="60">
        <v>1.4999999999999999E-2</v>
      </c>
      <c r="B48" s="15">
        <v>0.63970000000000005</v>
      </c>
      <c r="C48" s="15">
        <v>0.64080000000000004</v>
      </c>
      <c r="D48" s="63">
        <v>0.64190000000000003</v>
      </c>
      <c r="E48" s="15">
        <v>0.64300000000000002</v>
      </c>
      <c r="F48" s="15">
        <v>0.64400000000000002</v>
      </c>
    </row>
    <row r="49" spans="1:6" x14ac:dyDescent="0.35">
      <c r="A49" s="60">
        <v>2.2499999999999999E-2</v>
      </c>
      <c r="B49" s="15">
        <v>0.63929999999999998</v>
      </c>
      <c r="C49" s="15">
        <v>0.64049999999999996</v>
      </c>
      <c r="D49" s="15">
        <v>0.64170000000000005</v>
      </c>
      <c r="E49" s="15">
        <v>0.64270000000000005</v>
      </c>
      <c r="F49" s="15">
        <v>0.64380000000000004</v>
      </c>
    </row>
    <row r="50" spans="1:6" x14ac:dyDescent="0.35">
      <c r="A50" s="60">
        <v>0.03</v>
      </c>
      <c r="B50" s="15">
        <v>0.63900000000000001</v>
      </c>
      <c r="C50" s="15">
        <v>0.64019999999999999</v>
      </c>
      <c r="D50" s="15">
        <v>0.64139999999999997</v>
      </c>
      <c r="E50" s="15">
        <v>0.64249999999999996</v>
      </c>
      <c r="F50" s="15">
        <v>0.64349999999999996</v>
      </c>
    </row>
  </sheetData>
  <mergeCells count="8">
    <mergeCell ref="A36:F36"/>
    <mergeCell ref="A44:F44"/>
    <mergeCell ref="A1:L1"/>
    <mergeCell ref="A2:L2"/>
    <mergeCell ref="A4:F4"/>
    <mergeCell ref="A12:F12"/>
    <mergeCell ref="A20:F20"/>
    <mergeCell ref="A28:F28"/>
  </mergeCells>
  <conditionalFormatting sqref="B6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F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F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F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F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:F5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22</vt:i4>
      </vt:variant>
    </vt:vector>
  </HeadingPairs>
  <TitlesOfParts>
    <vt:vector size="31" baseType="lpstr">
      <vt:lpstr>Cover</vt:lpstr>
      <vt:lpstr>Dashboard</vt:lpstr>
      <vt:lpstr>Assumptions</vt:lpstr>
      <vt:lpstr>Volume Engine</vt:lpstr>
      <vt:lpstr>Revenue Engine</vt:lpstr>
      <vt:lpstr>Variable Cost Engine</vt:lpstr>
      <vt:lpstr>Fixed Cost Engine</vt:lpstr>
      <vt:lpstr>P&amp;L Projection (12M)</vt:lpstr>
      <vt:lpstr>Sensitivity Analysis</vt:lpstr>
      <vt:lpstr>Avg_Distance_Per_Ride</vt:lpstr>
      <vt:lpstr>Avg_Ride_Duration</vt:lpstr>
      <vt:lpstr>Cleaning_Per_Ride</vt:lpstr>
      <vt:lpstr>Cost_Inflation</vt:lpstr>
      <vt:lpstr>Days_Per_Month</vt:lpstr>
      <vt:lpstr>Depreciation_Per_Vehicle</vt:lpstr>
      <vt:lpstr>Discount_Rate</vt:lpstr>
      <vt:lpstr>Energy_Cost_Per_Km</vt:lpstr>
      <vt:lpstr>Fleet_Growth</vt:lpstr>
      <vt:lpstr>Fleet_Minutes</vt:lpstr>
      <vt:lpstr>Fleet_Rides</vt:lpstr>
      <vt:lpstr>Fleet_Size</vt:lpstr>
      <vt:lpstr>Hours_Per_Day</vt:lpstr>
      <vt:lpstr>Insurance_Per_Vehicle</vt:lpstr>
      <vt:lpstr>Logistics_Per_Vehicle</vt:lpstr>
      <vt:lpstr>Maintenance_Per_Ride</vt:lpstr>
      <vt:lpstr>Parking_Per_Vehicle</vt:lpstr>
      <vt:lpstr>Platform_Overhead</vt:lpstr>
      <vt:lpstr>Price_Growth</vt:lpstr>
      <vt:lpstr>Price_Per_Minute</vt:lpstr>
      <vt:lpstr>Unlock_Fee_Per_Ride</vt:lpstr>
      <vt:lpstr>Utilization_Rate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Vohra</dc:creator>
  <cp:lastModifiedBy>Akhil Vohra</cp:lastModifiedBy>
  <dcterms:created xsi:type="dcterms:W3CDTF">2026-03-01T14:12:04Z</dcterms:created>
  <dcterms:modified xsi:type="dcterms:W3CDTF">2026-03-06T14:25:39Z</dcterms:modified>
</cp:coreProperties>
</file>